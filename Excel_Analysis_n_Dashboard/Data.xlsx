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707" firstSheet="1"/>
  </bookViews>
  <sheets>
    <sheet name="Line productivity" sheetId="1" r:id="rId1"/>
    <sheet name="Products" sheetId="8" r:id="rId2"/>
    <sheet name="Downtime factors" sheetId="3" r:id="rId3"/>
    <sheet name="Line downtime" sheetId="2" r:id="rId4"/>
    <sheet name="Dashboard" sheetId="9" r:id="rId5"/>
  </sheets>
  <definedNames>
    <definedName name="_xlnm._FilterDatabase" localSheetId="2" hidden="1">'Downtime factors'!$A$1:$D$13</definedName>
    <definedName name="_xlnm._FilterDatabase" localSheetId="0" hidden="1">'Line productivity'!$A$1:$F$39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<sst xmlns="http://schemas.openxmlformats.org/spreadsheetml/2006/main" count="150" uniqueCount="52">
  <si>
    <t>Date</t>
  </si>
  <si>
    <t>Product</t>
  </si>
  <si>
    <t>Batch</t>
  </si>
  <si>
    <t>Operator</t>
  </si>
  <si>
    <t>Start Time</t>
  </si>
  <si>
    <t>End Time</t>
  </si>
  <si>
    <t>Batch Time</t>
  </si>
  <si>
    <t>Min Batch Time</t>
  </si>
  <si>
    <t>OR-600</t>
  </si>
  <si>
    <t>Mac</t>
  </si>
  <si>
    <t>LE-600</t>
  </si>
  <si>
    <t>Row Labels</t>
  </si>
  <si>
    <t xml:space="preserve">Efficiency </t>
  </si>
  <si>
    <t>Charlie</t>
  </si>
  <si>
    <t>Dennis</t>
  </si>
  <si>
    <t>Dee</t>
  </si>
  <si>
    <t>CO-600</t>
  </si>
  <si>
    <t>Grand Total</t>
  </si>
  <si>
    <t>DC-600</t>
  </si>
  <si>
    <t>RB-600</t>
  </si>
  <si>
    <t>CO-2L</t>
  </si>
  <si>
    <t>Flavor</t>
  </si>
  <si>
    <t>Size</t>
  </si>
  <si>
    <t>Min batch time</t>
  </si>
  <si>
    <t>Orange</t>
  </si>
  <si>
    <t>600 ml</t>
  </si>
  <si>
    <t>Lemon lime</t>
  </si>
  <si>
    <t>Cola</t>
  </si>
  <si>
    <t>Diet Cola</t>
  </si>
  <si>
    <t>Root Beer</t>
  </si>
  <si>
    <t>2 L</t>
  </si>
  <si>
    <t>Factor</t>
  </si>
  <si>
    <t>Description</t>
  </si>
  <si>
    <t>Operator Error</t>
  </si>
  <si>
    <t>Downtime</t>
  </si>
  <si>
    <t>Pareto</t>
  </si>
  <si>
    <t>Machine adjustment</t>
  </si>
  <si>
    <t>Yes</t>
  </si>
  <si>
    <t>Machine failure</t>
  </si>
  <si>
    <t>No</t>
  </si>
  <si>
    <t>Inventory shortage</t>
  </si>
  <si>
    <t>Batch change</t>
  </si>
  <si>
    <t>Batch coding error</t>
  </si>
  <si>
    <t>Other</t>
  </si>
  <si>
    <t>Product spill</t>
  </si>
  <si>
    <t>Calibration error</t>
  </si>
  <si>
    <t>Labeling error</t>
  </si>
  <si>
    <t>Label switch</t>
  </si>
  <si>
    <t>Conveyor belt jam</t>
  </si>
  <si>
    <t>Emergency stop</t>
  </si>
  <si>
    <t>Downtime factor</t>
  </si>
  <si>
    <t>Operators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</si>
</sst>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hh:mm:ss"/>
    <numFmt numFmtId="180" formatCode="0.0%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2" borderId="0" xfId="0" applyFont="1" applyFill="1"/>
    <xf numFmtId="9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0" fillId="0" borderId="0" xfId="0" applyAlignment="1">
      <alignment horizontal="left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97291E59-8BB3-4231-8CF9-7AF37DFF51D3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[Manufacturing_Line_Productivity.xlsx]Line productivity!PivotTable1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'Line productivity'!$K$4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productivity'!$J$5:$J$9</c:f>
              <c:strCache>
                <c:ptCount val="4"/>
                <c:pt idx="0">
                  <c:v>Mac</c:v>
                </c:pt>
                <c:pt idx="1">
                  <c:v>Dennis</c:v>
                </c:pt>
                <c:pt idx="2">
                  <c:v>Dee</c:v>
                </c:pt>
                <c:pt idx="3">
                  <c:v>Charlie</c:v>
                </c:pt>
              </c:strCache>
            </c:strRef>
          </c:cat>
          <c:val>
            <c:numRef>
              <c:f>'Line productivity'!$K$5:$K$9</c:f>
              <c:numCache>
                <c:formatCode>0.0%</c:formatCode>
                <c:ptCount val="4"/>
                <c:pt idx="0">
                  <c:v>0.609411764705882</c:v>
                </c:pt>
                <c:pt idx="1">
                  <c:v>0.631707317073171</c:v>
                </c:pt>
                <c:pt idx="2">
                  <c:v>0.640776699029126</c:v>
                </c:pt>
                <c:pt idx="3">
                  <c:v>0.66839378238342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88299536"/>
        <c:axId val="588300016"/>
      </c:barChart>
      <c:catAx>
        <c:axId val="588299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300016"/>
        <c:crosses val="autoZero"/>
        <c:auto val="1"/>
        <c:lblAlgn val="ctr"/>
        <c:lblOffset val="100"/>
        <c:noMultiLvlLbl val="0"/>
      </c:catAx>
      <c:valAx>
        <c:axId val="588300016"/>
        <c:scaling>
          <c:orientation val="minMax"/>
          <c:max val="0.7"/>
          <c:min val="0"/>
        </c:scaling>
        <c:delete val="1"/>
        <c:axPos val="b"/>
        <c:numFmt formatCode="0.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29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cf7c467-3168-4ffc-94c3-62114087c7f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'Downtime factors'!$D$1</c:f>
              <c:strCache>
                <c:ptCount val="1"/>
                <c:pt idx="0">
                  <c:v>Downtime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2"/>
              </a:solidFill>
              <a:ln>
                <a:solidFill>
                  <a:schemeClr val="bg2"/>
                </a:solidFill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Lbls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factors'!$D$2:$D$13</c:f>
              <c:numCache>
                <c:formatCode>General</c:formatCode>
                <c:ptCount val="12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718064848"/>
        <c:axId val="718066768"/>
      </c:barChart>
      <c:lineChart>
        <c:grouping val="standard"/>
        <c:varyColors val="0"/>
        <c:ser>
          <c:idx val="1"/>
          <c:order val="1"/>
          <c:tx>
            <c:strRef>
              <c:f>'Downtime factors'!$E$1</c:f>
              <c:strCache>
                <c:ptCount val="1"/>
                <c:pt idx="0">
                  <c:v>Pareto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</c:dPt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factors'!$E$2:$E$13</c:f>
              <c:numCache>
                <c:formatCode>0%</c:formatCode>
                <c:ptCount val="12"/>
                <c:pt idx="0">
                  <c:v>0.239193083573487</c:v>
                </c:pt>
                <c:pt idx="1">
                  <c:v>0.422190201729107</c:v>
                </c:pt>
                <c:pt idx="2">
                  <c:v>0.584293948126801</c:v>
                </c:pt>
                <c:pt idx="3">
                  <c:v>0.699567723342939</c:v>
                </c:pt>
                <c:pt idx="4">
                  <c:v>0.804034582132565</c:v>
                </c:pt>
                <c:pt idx="5">
                  <c:v>0.857348703170029</c:v>
                </c:pt>
                <c:pt idx="6">
                  <c:v>0.898414985590778</c:v>
                </c:pt>
                <c:pt idx="7">
                  <c:v>0.93371757925072</c:v>
                </c:pt>
                <c:pt idx="8">
                  <c:v>0.963976945244957</c:v>
                </c:pt>
                <c:pt idx="9">
                  <c:v>0.987752161383285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4396352"/>
        <c:axId val="764398752"/>
      </c:lineChart>
      <c:catAx>
        <c:axId val="71806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066768"/>
        <c:crosses val="autoZero"/>
        <c:auto val="1"/>
        <c:lblAlgn val="ctr"/>
        <c:lblOffset val="100"/>
        <c:noMultiLvlLbl val="0"/>
      </c:catAx>
      <c:valAx>
        <c:axId val="71806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064848"/>
        <c:crosses val="autoZero"/>
        <c:crossBetween val="between"/>
      </c:valAx>
      <c:catAx>
        <c:axId val="764396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398752"/>
        <c:crosses val="autoZero"/>
        <c:auto val="1"/>
        <c:lblAlgn val="ctr"/>
        <c:lblOffset val="100"/>
        <c:noMultiLvlLbl val="0"/>
      </c:catAx>
      <c:valAx>
        <c:axId val="764398752"/>
        <c:scaling>
          <c:orientation val="minMax"/>
          <c:max val="1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39635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43827b7-e4d8-4b50-a570-b4492fa00fe9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158751</xdr:colOff>
      <xdr:row>3</xdr:row>
      <xdr:rowOff>38099</xdr:rowOff>
    </xdr:from>
    <xdr:to>
      <xdr:col>3</xdr:col>
      <xdr:colOff>685801</xdr:colOff>
      <xdr:row>13</xdr:row>
      <xdr:rowOff>87311</xdr:rowOff>
    </xdr:to>
    <xdr:graphicFrame>
      <xdr:nvGraphicFramePr>
        <xdr:cNvPr id="2" name="Chart 1"/>
        <xdr:cNvGraphicFramePr/>
      </xdr:nvGraphicFramePr>
      <xdr:xfrm>
        <a:off x="158750" y="586105"/>
        <a:ext cx="319468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6348</xdr:colOff>
      <xdr:row>0</xdr:row>
      <xdr:rowOff>95250</xdr:rowOff>
    </xdr:from>
    <xdr:to>
      <xdr:col>3</xdr:col>
      <xdr:colOff>654048</xdr:colOff>
      <xdr:row>3</xdr:row>
      <xdr:rowOff>107950</xdr:rowOff>
    </xdr:to>
    <xdr:sp>
      <xdr:nvSpPr>
        <xdr:cNvPr id="3" name="TextBox 2"/>
        <xdr:cNvSpPr txBox="1"/>
      </xdr:nvSpPr>
      <xdr:spPr>
        <a:xfrm>
          <a:off x="5715" y="95250"/>
          <a:ext cx="3315335" cy="5613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1">
                  <a:lumMod val="75000"/>
                </a:schemeClr>
              </a:solidFill>
            </a:rPr>
            <a:t>Overall efficency sits at 64%</a:t>
          </a:r>
          <a:endParaRPr lang="en-US" sz="1600" b="1">
            <a:solidFill>
              <a:schemeClr val="accent1">
                <a:lumMod val="75000"/>
              </a:schemeClr>
            </a:solidFill>
          </a:endParaRPr>
        </a:p>
        <a:p>
          <a:r>
            <a:rPr lang="en-US" sz="1100">
              <a:solidFill>
                <a:schemeClr val="bg2">
                  <a:lumMod val="50000"/>
                </a:schemeClr>
              </a:solidFill>
            </a:rPr>
            <a:t>We should place a special focus</a:t>
          </a:r>
          <a:r>
            <a:rPr lang="en-US" sz="1100" baseline="0">
              <a:solidFill>
                <a:schemeClr val="bg2">
                  <a:lumMod val="50000"/>
                </a:schemeClr>
              </a:solidFill>
            </a:rPr>
            <a:t> on Mac</a:t>
          </a:r>
          <a:endParaRPr lang="en-US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256269</xdr:colOff>
      <xdr:row>3</xdr:row>
      <xdr:rowOff>38099</xdr:rowOff>
    </xdr:from>
    <xdr:to>
      <xdr:col>9</xdr:col>
      <xdr:colOff>730250</xdr:colOff>
      <xdr:row>13</xdr:row>
      <xdr:rowOff>0</xdr:rowOff>
    </xdr:to>
    <xdr:graphicFrame>
      <xdr:nvGraphicFramePr>
        <xdr:cNvPr id="4" name="Chart 3"/>
        <xdr:cNvGraphicFramePr/>
      </xdr:nvGraphicFramePr>
      <xdr:xfrm>
        <a:off x="3796030" y="586105"/>
        <a:ext cx="4227195" cy="1791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188912</xdr:colOff>
      <xdr:row>0</xdr:row>
      <xdr:rowOff>95250</xdr:rowOff>
    </xdr:from>
    <xdr:to>
      <xdr:col>9</xdr:col>
      <xdr:colOff>841375</xdr:colOff>
      <xdr:row>3</xdr:row>
      <xdr:rowOff>107950</xdr:rowOff>
    </xdr:to>
    <xdr:sp>
      <xdr:nvSpPr>
        <xdr:cNvPr id="5" name="TextBox 4"/>
        <xdr:cNvSpPr txBox="1"/>
      </xdr:nvSpPr>
      <xdr:spPr>
        <a:xfrm>
          <a:off x="3728720" y="95250"/>
          <a:ext cx="4405630" cy="5613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1">
                  <a:lumMod val="75000"/>
                </a:schemeClr>
              </a:solidFill>
            </a:rPr>
            <a:t>The top 5 factors</a:t>
          </a:r>
          <a:r>
            <a:rPr lang="en-US" sz="1600" b="1" baseline="0">
              <a:solidFill>
                <a:schemeClr val="accent1">
                  <a:lumMod val="75000"/>
                </a:schemeClr>
              </a:solidFill>
            </a:rPr>
            <a:t> account for 80% of the downtime</a:t>
          </a:r>
          <a:endParaRPr lang="en-US" sz="1600" b="1">
            <a:solidFill>
              <a:schemeClr val="accent1">
                <a:lumMod val="75000"/>
              </a:schemeClr>
            </a:solidFill>
          </a:endParaRPr>
        </a:p>
        <a:p>
          <a:r>
            <a:rPr lang="en-US" sz="1100">
              <a:solidFill>
                <a:schemeClr val="bg2">
                  <a:lumMod val="50000"/>
                </a:schemeClr>
              </a:solidFill>
            </a:rPr>
            <a:t>We should ignore</a:t>
          </a:r>
          <a:r>
            <a:rPr lang="en-US" sz="1100" baseline="0">
              <a:solidFill>
                <a:schemeClr val="bg2">
                  <a:lumMod val="50000"/>
                </a:schemeClr>
              </a:solidFill>
            </a:rPr>
            <a:t> the rest and priotize these</a:t>
          </a:r>
          <a:endParaRPr lang="en-US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6346</xdr:colOff>
      <xdr:row>15</xdr:row>
      <xdr:rowOff>142885</xdr:rowOff>
    </xdr:from>
    <xdr:to>
      <xdr:col>5</xdr:col>
      <xdr:colOff>539746</xdr:colOff>
      <xdr:row>18</xdr:row>
      <xdr:rowOff>155586</xdr:rowOff>
    </xdr:to>
    <xdr:sp>
      <xdr:nvSpPr>
        <xdr:cNvPr id="6" name="TextBox 5"/>
        <xdr:cNvSpPr txBox="1"/>
      </xdr:nvSpPr>
      <xdr:spPr>
        <a:xfrm>
          <a:off x="5715" y="2886075"/>
          <a:ext cx="4958715" cy="5613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accent1">
                  <a:lumMod val="75000"/>
                </a:schemeClr>
              </a:solidFill>
            </a:rPr>
            <a:t>3 of the 5 main downtime factors are due to operator error</a:t>
          </a:r>
          <a:endParaRPr lang="en-US" sz="1600" b="1">
            <a:solidFill>
              <a:schemeClr val="accent1">
                <a:lumMod val="75000"/>
              </a:schemeClr>
            </a:solidFill>
          </a:endParaRPr>
        </a:p>
        <a:p>
          <a:pPr algn="l"/>
          <a:r>
            <a:rPr lang="en-US" sz="1100">
              <a:solidFill>
                <a:schemeClr val="bg2">
                  <a:lumMod val="50000"/>
                </a:schemeClr>
              </a:solidFill>
            </a:rPr>
            <a:t>We should focus on machine adjustment for everyone, and batch change for Mac</a:t>
          </a:r>
          <a:endParaRPr lang="en-US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2</xdr:col>
      <xdr:colOff>0</xdr:colOff>
      <xdr:row>24</xdr:row>
      <xdr:rowOff>0</xdr:rowOff>
    </xdr:to>
    <xdr:sp>
      <xdr:nvSpPr>
        <xdr:cNvPr id="7" name="Rectangle 6"/>
        <xdr:cNvSpPr/>
      </xdr:nvSpPr>
      <xdr:spPr>
        <a:xfrm>
          <a:off x="635635" y="3830320"/>
          <a:ext cx="1016000" cy="819150"/>
        </a:xfrm>
        <a:prstGeom prst="rect">
          <a:avLst/>
        </a:prstGeom>
        <a:noFill/>
        <a:ln w="19050">
          <a:solidFill>
            <a:srgbClr val="C0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sp>
      <xdr:nvSpPr>
        <xdr:cNvPr id="8" name="Rectangle 7"/>
        <xdr:cNvSpPr/>
      </xdr:nvSpPr>
      <xdr:spPr>
        <a:xfrm>
          <a:off x="3540125" y="4649470"/>
          <a:ext cx="885190" cy="273050"/>
        </a:xfrm>
        <a:prstGeom prst="rect">
          <a:avLst/>
        </a:prstGeom>
        <a:noFill/>
        <a:ln w="19050">
          <a:solidFill>
            <a:srgbClr val="C0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275167</xdr:colOff>
      <xdr:row>16</xdr:row>
      <xdr:rowOff>58213</xdr:rowOff>
    </xdr:from>
    <xdr:to>
      <xdr:col>9</xdr:col>
      <xdr:colOff>751417</xdr:colOff>
      <xdr:row>25</xdr:row>
      <xdr:rowOff>0</xdr:rowOff>
    </xdr:to>
    <xdr:sp>
      <xdr:nvSpPr>
        <xdr:cNvPr id="9" name="TextBox 8"/>
        <xdr:cNvSpPr txBox="1"/>
      </xdr:nvSpPr>
      <xdr:spPr>
        <a:xfrm>
          <a:off x="5492115" y="2983865"/>
          <a:ext cx="2552065" cy="1938655"/>
        </a:xfrm>
        <a:prstGeom prst="rect">
          <a:avLst/>
        </a:prstGeom>
        <a:solidFill>
          <a:schemeClr val="lt1"/>
        </a:solidFill>
        <a:ln w="19050" cmpd="sng">
          <a:solidFill>
            <a:schemeClr val="tx2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1">
              <a:solidFill>
                <a:schemeClr val="accent1">
                  <a:lumMod val="75000"/>
                </a:schemeClr>
              </a:solidFill>
            </a:rPr>
            <a:t>Recommendations:</a:t>
          </a:r>
          <a:endParaRPr lang="en-US" sz="1600" b="1">
            <a:solidFill>
              <a:schemeClr val="accent1">
                <a:lumMod val="75000"/>
              </a:schemeClr>
            </a:solidFill>
          </a:endParaRPr>
        </a:p>
        <a:p>
          <a:pPr algn="l"/>
          <a:endParaRPr lang="en-US" sz="1100">
            <a:solidFill>
              <a:schemeClr val="bg2">
                <a:lumMod val="50000"/>
              </a:schemeClr>
            </a:solidFill>
          </a:endParaRPr>
        </a:p>
        <a:p>
          <a:pPr algn="l"/>
          <a:r>
            <a:rPr lang="en-US" sz="1100" b="0">
              <a:solidFill>
                <a:schemeClr val="bg2">
                  <a:lumMod val="25000"/>
                </a:schemeClr>
              </a:solidFill>
            </a:rPr>
            <a:t>1. Start with machine adjustment</a:t>
          </a:r>
          <a:r>
            <a:rPr lang="en-US" sz="1100" b="0" baseline="0">
              <a:solidFill>
                <a:schemeClr val="bg2">
                  <a:lumMod val="25000"/>
                </a:schemeClr>
              </a:solidFill>
            </a:rPr>
            <a:t> training for all operators</a:t>
          </a:r>
          <a:endParaRPr lang="en-US" sz="1100" b="0" baseline="0">
            <a:solidFill>
              <a:schemeClr val="bg2">
                <a:lumMod val="25000"/>
              </a:schemeClr>
            </a:solidFill>
          </a:endParaRPr>
        </a:p>
        <a:p>
          <a:pPr algn="l"/>
          <a:endParaRPr lang="en-US" sz="1100" b="0" baseline="0">
            <a:solidFill>
              <a:schemeClr val="bg2">
                <a:lumMod val="25000"/>
              </a:schemeClr>
            </a:solidFill>
          </a:endParaRPr>
        </a:p>
        <a:p>
          <a:pPr algn="l"/>
          <a:r>
            <a:rPr lang="en-US" sz="1100" b="0" baseline="0">
              <a:solidFill>
                <a:schemeClr val="bg2">
                  <a:lumMod val="25000"/>
                </a:schemeClr>
              </a:solidFill>
            </a:rPr>
            <a:t>2. Provide special batch change for Mac</a:t>
          </a:r>
          <a:endParaRPr lang="en-US" sz="1100" b="0" baseline="0">
            <a:solidFill>
              <a:schemeClr val="bg2">
                <a:lumMod val="25000"/>
              </a:schemeClr>
            </a:solidFill>
          </a:endParaRPr>
        </a:p>
        <a:p>
          <a:pPr algn="l"/>
          <a:endParaRPr lang="en-US" sz="1100" b="0" baseline="0">
            <a:solidFill>
              <a:schemeClr val="bg2">
                <a:lumMod val="25000"/>
              </a:schemeClr>
            </a:solidFill>
          </a:endParaRPr>
        </a:p>
        <a:p>
          <a:pPr algn="l"/>
          <a:r>
            <a:rPr lang="en-US" sz="1100" b="0" baseline="0">
              <a:solidFill>
                <a:schemeClr val="bg2">
                  <a:lumMod val="25000"/>
                </a:schemeClr>
              </a:solidFill>
            </a:rPr>
            <a:t>3. Apply preventive maintenance for machine and double check inventory levels</a:t>
          </a:r>
          <a:endParaRPr lang="en-US" sz="1100" b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04.6358173611" refreshedBy="Adekunle Awotunde" recordCount="38">
  <cacheSource type="worksheet">
    <worksheetSource ref="A1:H39" sheet="Line productivity"/>
  </cacheSource>
  <cacheFields count="9">
    <cacheField name="Date" numFmtId="178"/>
    <cacheField name="Product" numFmtId="0"/>
    <cacheField name="Batch" numFmtId="0"/>
    <cacheField name="Operator" numFmtId="0">
      <sharedItems count="4">
        <s v="Mac"/>
        <s v="Charlie"/>
        <s v="Dee"/>
        <s v="Dennis"/>
      </sharedItems>
    </cacheField>
    <cacheField name="Start Time" numFmtId="179"/>
    <cacheField name="End Time" numFmtId="179"/>
    <cacheField name="Batch Time" numFmtId="0"/>
    <cacheField name="Min Batch Time" numFmtId="0"/>
    <cacheField name="Efficiency" numFmtId="0" formula="'Min Batch Time'/'Batch Time'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d v="2024-08-29T00:00:00"/>
    <s v="OR-600"/>
    <n v="422111"/>
    <x v="0"/>
    <d v="1899-12-30T11:50:00"/>
    <d v="1899-12-30T14:05:00"/>
    <n v="135"/>
    <n v="60"/>
  </r>
  <r>
    <d v="2024-08-29T00:00:00"/>
    <s v="LE-600"/>
    <n v="422112"/>
    <x v="0"/>
    <d v="1899-12-30T14:05:00"/>
    <d v="1899-12-30T15:45:00"/>
    <n v="99.999999999999972"/>
    <n v="60"/>
  </r>
  <r>
    <d v="2024-08-29T00:00:00"/>
    <s v="LE-600"/>
    <n v="422113"/>
    <x v="0"/>
    <d v="1899-12-30T15:45:00"/>
    <d v="1899-12-30T17:35:00"/>
    <n v="109.99999999999993"/>
    <n v="60"/>
  </r>
  <r>
    <d v="2024-08-29T00:00:00"/>
    <s v="LE-600"/>
    <n v="422114"/>
    <x v="0"/>
    <d v="1899-12-30T17:35:00"/>
    <d v="1899-12-30T19:15:00"/>
    <n v="99.999999999999972"/>
    <n v="60"/>
  </r>
  <r>
    <d v="2024-08-29T00:00:00"/>
    <s v="LE-600"/>
    <n v="422115"/>
    <x v="1"/>
    <d v="1899-12-30T19:15:00"/>
    <d v="1899-12-30T20:39:00"/>
    <n v="84.000000000000028"/>
    <n v="60"/>
  </r>
  <r>
    <d v="2024-08-29T00:00:00"/>
    <s v="LE-600"/>
    <n v="422116"/>
    <x v="1"/>
    <d v="1899-12-30T20:39:00"/>
    <d v="1899-12-30T21:39:00"/>
    <n v="59.999999999999943"/>
    <n v="60"/>
  </r>
  <r>
    <d v="2024-08-29T00:00:00"/>
    <s v="LE-600"/>
    <n v="422117"/>
    <x v="1"/>
    <d v="1899-12-30T21:39:00"/>
    <d v="1899-12-30T22:54:00"/>
    <n v="75.000000000000057"/>
    <n v="60"/>
  </r>
  <r>
    <d v="2024-08-30T00:00:00"/>
    <s v="CO-600"/>
    <n v="422118"/>
    <x v="2"/>
    <d v="1899-12-30T04:05:00"/>
    <d v="1899-12-30T06:05:00"/>
    <n v="119.99999999999997"/>
    <n v="60"/>
  </r>
  <r>
    <d v="2024-08-30T00:00:00"/>
    <s v="CO-600"/>
    <n v="422119"/>
    <x v="2"/>
    <d v="1899-12-30T06:05:00"/>
    <d v="1899-12-30T07:30:00"/>
    <n v="85.000000000000014"/>
    <n v="60"/>
  </r>
  <r>
    <d v="2024-08-30T00:00:00"/>
    <s v="CO-600"/>
    <n v="422120"/>
    <x v="2"/>
    <d v="1899-12-30T07:30:00"/>
    <d v="1899-12-30T09:22:00"/>
    <n v="112"/>
    <n v="60"/>
  </r>
  <r>
    <d v="2024-08-30T00:00:00"/>
    <s v="CO-600"/>
    <n v="422121"/>
    <x v="3"/>
    <d v="1899-12-30T09:22:00"/>
    <d v="1899-12-30T10:37:00"/>
    <n v="74.999999999999972"/>
    <n v="60"/>
  </r>
  <r>
    <d v="2024-08-30T00:00:00"/>
    <s v="CO-600"/>
    <n v="422122"/>
    <x v="3"/>
    <d v="1899-12-30T10:37:00"/>
    <d v="1899-12-30T12:02:00"/>
    <n v="85.000000000000014"/>
    <n v="60"/>
  </r>
  <r>
    <d v="2024-08-30T00:00:00"/>
    <s v="CO-600"/>
    <n v="422123"/>
    <x v="3"/>
    <d v="1899-12-30T12:02:00"/>
    <d v="1899-12-30T14:15:00"/>
    <n v="133"/>
    <n v="60"/>
  </r>
  <r>
    <d v="2024-08-30T00:00:00"/>
    <s v="CO-600"/>
    <n v="422124"/>
    <x v="3"/>
    <d v="1899-12-30T14:15:00"/>
    <d v="1899-12-30T15:55:00"/>
    <n v="99.999999999999972"/>
    <n v="60"/>
  </r>
  <r>
    <d v="2024-08-30T00:00:00"/>
    <s v="CO-600"/>
    <n v="422125"/>
    <x v="1"/>
    <d v="1899-12-30T15:55:00"/>
    <d v="1899-12-30T17:15:00"/>
    <n v="80.000000000000028"/>
    <n v="60"/>
  </r>
  <r>
    <d v="2024-08-30T00:00:00"/>
    <s v="CO-600"/>
    <n v="422126"/>
    <x v="1"/>
    <d v="1899-12-30T17:15:00"/>
    <d v="1899-12-30T18:59:00"/>
    <n v="103.99999999999994"/>
    <n v="60"/>
  </r>
  <r>
    <d v="2024-08-30T00:00:00"/>
    <s v="CO-600"/>
    <n v="422127"/>
    <x v="1"/>
    <d v="1899-12-30T18:59:00"/>
    <d v="1899-12-30T20:22:00"/>
    <n v="83.000000000000028"/>
    <n v="60"/>
  </r>
  <r>
    <d v="2024-08-30T00:00:00"/>
    <s v="CO-600"/>
    <n v="422128"/>
    <x v="1"/>
    <d v="1899-12-30T20:22:00"/>
    <d v="1899-12-30T22:14:00"/>
    <n v="112.00000000000009"/>
    <n v="60"/>
  </r>
  <r>
    <d v="2024-08-30T00:00:00"/>
    <s v="CO-600"/>
    <n v="422129"/>
    <x v="1"/>
    <d v="1899-12-30T22:14:00"/>
    <d v="1899-12-30T23:29:00"/>
    <n v="74.999999999999886"/>
    <n v="60"/>
  </r>
  <r>
    <d v="2024-08-31T00:00:00"/>
    <s v="CO-600"/>
    <n v="422130"/>
    <x v="2"/>
    <d v="1899-12-30T07:45:00"/>
    <d v="1899-12-30T09:05:00"/>
    <n v="79.999999999999957"/>
    <n v="60"/>
  </r>
  <r>
    <d v="2024-08-31T00:00:00"/>
    <s v="CO-600"/>
    <n v="422131"/>
    <x v="2"/>
    <d v="1899-12-30T09:05:00"/>
    <d v="1899-12-30T10:35:00"/>
    <n v="90"/>
    <n v="60"/>
  </r>
  <r>
    <d v="2024-08-31T00:00:00"/>
    <s v="CO-600"/>
    <n v="422132"/>
    <x v="2"/>
    <d v="1899-12-30T10:35:00"/>
    <d v="1899-12-30T11:35:00"/>
    <n v="60.000000000000028"/>
    <n v="60"/>
  </r>
  <r>
    <d v="2024-08-31T00:00:00"/>
    <s v="DC-600"/>
    <n v="422133"/>
    <x v="2"/>
    <d v="1899-12-30T11:35:00"/>
    <d v="1899-12-30T12:55:00"/>
    <n v="79.999999999999957"/>
    <n v="60"/>
  </r>
  <r>
    <d v="2024-08-31T00:00:00"/>
    <s v="DC-600"/>
    <n v="422134"/>
    <x v="0"/>
    <d v="1899-12-30T12:55:00"/>
    <d v="1899-12-30T14:45:00"/>
    <n v="110.00000000000009"/>
    <n v="60"/>
  </r>
  <r>
    <d v="2024-08-31T00:00:00"/>
    <s v="DC-600"/>
    <n v="422135"/>
    <x v="0"/>
    <d v="1899-12-30T14:45:00"/>
    <d v="1899-12-30T16:30:00"/>
    <n v="104.99999999999994"/>
    <n v="60"/>
  </r>
  <r>
    <d v="2024-08-31T00:00:00"/>
    <s v="DC-600"/>
    <n v="422136"/>
    <x v="0"/>
    <d v="1899-12-30T16:30:00"/>
    <d v="1899-12-30T17:30:00"/>
    <n v="59.999999999999943"/>
    <n v="60"/>
  </r>
  <r>
    <d v="2024-09-02T00:00:00"/>
    <s v="RB-600"/>
    <n v="422137"/>
    <x v="2"/>
    <d v="1899-12-30T01:00:00"/>
    <d v="1899-12-30T02:45:00"/>
    <n v="104.99999999999999"/>
    <n v="60"/>
  </r>
  <r>
    <d v="2024-09-02T00:00:00"/>
    <s v="RB-600"/>
    <n v="422138"/>
    <x v="2"/>
    <d v="1899-12-30T02:45:00"/>
    <d v="1899-12-30T04:05:00"/>
    <n v="80.000000000000014"/>
    <n v="60"/>
  </r>
  <r>
    <d v="2024-09-02T00:00:00"/>
    <s v="RB-600"/>
    <n v="422139"/>
    <x v="2"/>
    <d v="1899-12-30T04:05:00"/>
    <d v="1899-12-30T05:40:00"/>
    <n v="94.999999999999986"/>
    <n v="60"/>
  </r>
  <r>
    <d v="2024-09-02T00:00:00"/>
    <s v="RB-600"/>
    <n v="422140"/>
    <x v="2"/>
    <d v="1899-12-30T05:40:00"/>
    <d v="1899-12-30T07:43:00"/>
    <n v="123.00000000000004"/>
    <n v="60"/>
  </r>
  <r>
    <d v="2024-09-02T00:00:00"/>
    <s v="RB-600"/>
    <n v="422141"/>
    <x v="3"/>
    <d v="1899-12-30T07:43:00"/>
    <d v="1899-12-30T08:50:00"/>
    <n v="67"/>
    <n v="60"/>
  </r>
  <r>
    <d v="2024-09-02T00:00:00"/>
    <s v="RB-600"/>
    <n v="422142"/>
    <x v="3"/>
    <d v="1899-12-30T08:50:00"/>
    <d v="1899-12-30T10:20:00"/>
    <n v="90"/>
    <n v="60"/>
  </r>
  <r>
    <d v="2024-09-02T00:00:00"/>
    <s v="RB-600"/>
    <n v="422143"/>
    <x v="3"/>
    <d v="1899-12-30T10:20:00"/>
    <d v="1899-12-30T12:18:00"/>
    <n v="117.9999999999999"/>
    <n v="60"/>
  </r>
  <r>
    <d v="2024-09-02T00:00:00"/>
    <s v="CO-2L"/>
    <n v="422144"/>
    <x v="3"/>
    <d v="1899-12-30T12:18:00"/>
    <d v="1899-12-30T14:50:00"/>
    <n v="152.00000000000011"/>
    <n v="98"/>
  </r>
  <r>
    <d v="2024-09-02T00:00:00"/>
    <s v="CO-2L"/>
    <n v="422145"/>
    <x v="1"/>
    <d v="1899-12-30T14:50:00"/>
    <d v="1899-12-30T16:50:00"/>
    <n v="120.00000000000006"/>
    <n v="98"/>
  </r>
  <r>
    <d v="2024-09-02T00:00:00"/>
    <s v="CO-2L"/>
    <n v="422146"/>
    <x v="1"/>
    <d v="1899-12-30T16:50:00"/>
    <d v="1899-12-30T19:30:00"/>
    <n v="159.99999999999991"/>
    <n v="98"/>
  </r>
  <r>
    <d v="2024-09-02T00:00:00"/>
    <s v="CO-2L"/>
    <n v="422147"/>
    <x v="1"/>
    <d v="1899-12-30T19:30:00"/>
    <d v="1899-12-30T22:55:00"/>
    <n v="205.00000000000006"/>
    <n v="98"/>
  </r>
  <r>
    <d v="2024-09-03T00:00:00"/>
    <s v="CO-2L"/>
    <n v="422148"/>
    <x v="0"/>
    <d v="1899-12-30T22:55:00"/>
    <d v="1899-12-31T01:05:00"/>
    <n v="129.99999999999986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3">
  <location ref="J4:K9" firstHeaderRow="1" firstDataRow="1" firstDataCol="1"/>
  <pivotFields count="9">
    <pivotField numFmtId="178" showAll="0"/>
    <pivotField showAll="0"/>
    <pivotField showAll="0"/>
    <pivotField axis="axisRow" sortType="ascending" showAll="0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79" showAll="0"/>
    <pivotField numFmtId="179" showAll="0"/>
    <pivotField showAll="0"/>
    <pivotField showAll="0"/>
    <pivotField dataField="1" dragToCol="0" dragToPage="0" dragToRow="0" defaultSubtotal="0" showAll="0"/>
  </pivotFields>
  <rowFields count="1">
    <field x="3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Efficiency " fld="8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abSelected="1" workbookViewId="0">
      <selection activeCell="K19" sqref="K19"/>
    </sheetView>
  </sheetViews>
  <sheetFormatPr defaultColWidth="9" defaultRowHeight="14.4"/>
  <cols>
    <col min="1" max="1" width="10.4537037037037" customWidth="1"/>
    <col min="2" max="2" width="9.5462962962963" customWidth="1"/>
    <col min="3" max="3" width="8.81481481481481" customWidth="1"/>
    <col min="4" max="4" width="9.4537037037037" customWidth="1"/>
    <col min="5" max="5" width="9.26851851851852" customWidth="1"/>
    <col min="6" max="6" width="8.81481481481481" customWidth="1"/>
    <col min="7" max="7" width="10.0925925925926" customWidth="1"/>
    <col min="8" max="8" width="13.6296296296296" customWidth="1"/>
    <col min="9" max="9" width="8.81481481481481" customWidth="1"/>
    <col min="10" max="10" width="12.4537037037037" customWidth="1"/>
    <col min="11" max="11" width="9.5462962962963" customWidth="1"/>
    <col min="12" max="12" width="8.81481481481481" customWidth="1"/>
  </cols>
  <sheetData>
    <row r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10">
        <v>45533</v>
      </c>
      <c r="B2" t="s">
        <v>8</v>
      </c>
      <c r="C2">
        <v>422111</v>
      </c>
      <c r="D2" t="s">
        <v>9</v>
      </c>
      <c r="E2" s="11">
        <v>0.493055555555556</v>
      </c>
      <c r="F2" s="11">
        <v>0.586805555555556</v>
      </c>
      <c r="G2">
        <f>(F2-E2)*24*60</f>
        <v>135</v>
      </c>
      <c r="H2">
        <f>_xlfn.XLOOKUP(B2,Products!$A$2:$A$7,Products!$D$2:$D$7)</f>
        <v>60</v>
      </c>
    </row>
    <row r="3" spans="1:8">
      <c r="A3" s="10">
        <v>45533</v>
      </c>
      <c r="B3" t="s">
        <v>10</v>
      </c>
      <c r="C3">
        <v>422112</v>
      </c>
      <c r="D3" t="s">
        <v>9</v>
      </c>
      <c r="E3" s="11">
        <v>0.586805555555556</v>
      </c>
      <c r="F3" s="11">
        <v>0.65625</v>
      </c>
      <c r="G3">
        <f t="shared" ref="G3:G39" si="0">(F3-E3)*24*60</f>
        <v>100</v>
      </c>
      <c r="H3">
        <f>_xlfn.XLOOKUP(B3,Products!$A$2:$A$7,Products!$D$2:$D$7)</f>
        <v>60</v>
      </c>
    </row>
    <row r="4" spans="1:11">
      <c r="A4" s="10">
        <v>45533</v>
      </c>
      <c r="B4" t="s">
        <v>10</v>
      </c>
      <c r="C4">
        <v>422113</v>
      </c>
      <c r="D4" t="s">
        <v>9</v>
      </c>
      <c r="E4" s="11">
        <v>0.65625</v>
      </c>
      <c r="F4" s="11">
        <v>0.732638888888889</v>
      </c>
      <c r="G4">
        <f t="shared" si="0"/>
        <v>110</v>
      </c>
      <c r="H4">
        <f>_xlfn.XLOOKUP(B4,Products!$A$2:$A$7,Products!$D$2:$D$7)</f>
        <v>60</v>
      </c>
      <c r="J4" t="s">
        <v>11</v>
      </c>
      <c r="K4" t="s">
        <v>12</v>
      </c>
    </row>
    <row r="5" spans="1:11">
      <c r="A5" s="10">
        <v>45533</v>
      </c>
      <c r="B5" t="s">
        <v>10</v>
      </c>
      <c r="C5">
        <v>422114</v>
      </c>
      <c r="D5" t="s">
        <v>9</v>
      </c>
      <c r="E5" s="11">
        <v>0.732638888888889</v>
      </c>
      <c r="F5" s="11">
        <v>0.802083333333333</v>
      </c>
      <c r="G5">
        <f t="shared" si="0"/>
        <v>100</v>
      </c>
      <c r="H5">
        <f>_xlfn.XLOOKUP(B5,Products!$A$2:$A$7,Products!$D$2:$D$7)</f>
        <v>60</v>
      </c>
      <c r="J5" s="12" t="s">
        <v>9</v>
      </c>
      <c r="K5" s="13">
        <v>0.609411764705882</v>
      </c>
    </row>
    <row r="6" spans="1:11">
      <c r="A6" s="10">
        <v>45533</v>
      </c>
      <c r="B6" t="s">
        <v>10</v>
      </c>
      <c r="C6">
        <v>422115</v>
      </c>
      <c r="D6" t="s">
        <v>13</v>
      </c>
      <c r="E6" s="11">
        <v>0.802083333333333</v>
      </c>
      <c r="F6" s="11">
        <v>0.860416666666667</v>
      </c>
      <c r="G6">
        <f t="shared" si="0"/>
        <v>84</v>
      </c>
      <c r="H6">
        <f>_xlfn.XLOOKUP(B6,Products!$A$2:$A$7,Products!$D$2:$D$7)</f>
        <v>60</v>
      </c>
      <c r="J6" s="12" t="s">
        <v>14</v>
      </c>
      <c r="K6" s="13">
        <v>0.631707317073171</v>
      </c>
    </row>
    <row r="7" spans="1:11">
      <c r="A7" s="10">
        <v>45533</v>
      </c>
      <c r="B7" t="s">
        <v>10</v>
      </c>
      <c r="C7">
        <v>422116</v>
      </c>
      <c r="D7" t="s">
        <v>13</v>
      </c>
      <c r="E7" s="11">
        <v>0.860416666666667</v>
      </c>
      <c r="F7" s="11">
        <v>0.902083333333333</v>
      </c>
      <c r="G7">
        <f t="shared" si="0"/>
        <v>59.9999999999999</v>
      </c>
      <c r="H7">
        <f>_xlfn.XLOOKUP(B7,Products!$A$2:$A$7,Products!$D$2:$D$7)</f>
        <v>60</v>
      </c>
      <c r="J7" s="12" t="s">
        <v>15</v>
      </c>
      <c r="K7" s="13">
        <v>0.640776699029126</v>
      </c>
    </row>
    <row r="8" spans="1:11">
      <c r="A8" s="10">
        <v>45533</v>
      </c>
      <c r="B8" t="s">
        <v>10</v>
      </c>
      <c r="C8">
        <v>422117</v>
      </c>
      <c r="D8" t="s">
        <v>13</v>
      </c>
      <c r="E8" s="11">
        <v>0.902083333333333</v>
      </c>
      <c r="F8" s="11">
        <v>0.954166666666667</v>
      </c>
      <c r="G8">
        <f t="shared" si="0"/>
        <v>75.0000000000001</v>
      </c>
      <c r="H8">
        <f>_xlfn.XLOOKUP(B8,Products!$A$2:$A$7,Products!$D$2:$D$7)</f>
        <v>60</v>
      </c>
      <c r="J8" s="12" t="s">
        <v>13</v>
      </c>
      <c r="K8" s="13">
        <v>0.66839378238342</v>
      </c>
    </row>
    <row r="9" spans="1:11">
      <c r="A9" s="10">
        <v>45534</v>
      </c>
      <c r="B9" t="s">
        <v>16</v>
      </c>
      <c r="C9">
        <v>422118</v>
      </c>
      <c r="D9" t="s">
        <v>15</v>
      </c>
      <c r="E9" s="11">
        <v>0.170138888888889</v>
      </c>
      <c r="F9" s="11">
        <v>0.253472222222222</v>
      </c>
      <c r="G9">
        <f t="shared" si="0"/>
        <v>120</v>
      </c>
      <c r="H9">
        <f>_xlfn.XLOOKUP(B9,Products!$A$2:$A$7,Products!$D$2:$D$7)</f>
        <v>60</v>
      </c>
      <c r="J9" s="12" t="s">
        <v>17</v>
      </c>
      <c r="K9" s="13">
        <v>0.640228097459824</v>
      </c>
    </row>
    <row r="10" spans="1:8">
      <c r="A10" s="10">
        <v>45534</v>
      </c>
      <c r="B10" t="s">
        <v>16</v>
      </c>
      <c r="C10">
        <v>422119</v>
      </c>
      <c r="D10" t="s">
        <v>15</v>
      </c>
      <c r="E10" s="11">
        <v>0.253472222222222</v>
      </c>
      <c r="F10" s="11">
        <v>0.3125</v>
      </c>
      <c r="G10">
        <f t="shared" si="0"/>
        <v>85</v>
      </c>
      <c r="H10">
        <f>_xlfn.XLOOKUP(B10,Products!$A$2:$A$7,Products!$D$2:$D$7)</f>
        <v>60</v>
      </c>
    </row>
    <row r="11" spans="1:8">
      <c r="A11" s="10">
        <v>45534</v>
      </c>
      <c r="B11" t="s">
        <v>16</v>
      </c>
      <c r="C11">
        <v>422120</v>
      </c>
      <c r="D11" t="s">
        <v>15</v>
      </c>
      <c r="E11" s="11">
        <v>0.3125</v>
      </c>
      <c r="F11" s="11">
        <v>0.390277777777778</v>
      </c>
      <c r="G11">
        <f t="shared" si="0"/>
        <v>112</v>
      </c>
      <c r="H11">
        <f>_xlfn.XLOOKUP(B11,Products!$A$2:$A$7,Products!$D$2:$D$7)</f>
        <v>60</v>
      </c>
    </row>
    <row r="12" spans="1:8">
      <c r="A12" s="10">
        <v>45534</v>
      </c>
      <c r="B12" t="s">
        <v>16</v>
      </c>
      <c r="C12">
        <v>422121</v>
      </c>
      <c r="D12" t="s">
        <v>14</v>
      </c>
      <c r="E12" s="11">
        <v>0.390277777777778</v>
      </c>
      <c r="F12" s="11">
        <v>0.442361111111111</v>
      </c>
      <c r="G12">
        <f t="shared" si="0"/>
        <v>75</v>
      </c>
      <c r="H12">
        <f>_xlfn.XLOOKUP(B12,Products!$A$2:$A$7,Products!$D$2:$D$7)</f>
        <v>60</v>
      </c>
    </row>
    <row r="13" spans="1:8">
      <c r="A13" s="10">
        <v>45534</v>
      </c>
      <c r="B13" t="s">
        <v>16</v>
      </c>
      <c r="C13">
        <v>422122</v>
      </c>
      <c r="D13" t="s">
        <v>14</v>
      </c>
      <c r="E13" s="11">
        <v>0.442361111111111</v>
      </c>
      <c r="F13" s="11">
        <v>0.501388888888889</v>
      </c>
      <c r="G13">
        <f t="shared" si="0"/>
        <v>85</v>
      </c>
      <c r="H13">
        <f>_xlfn.XLOOKUP(B13,Products!$A$2:$A$7,Products!$D$2:$D$7)</f>
        <v>60</v>
      </c>
    </row>
    <row r="14" spans="1:8">
      <c r="A14" s="10">
        <v>45534</v>
      </c>
      <c r="B14" t="s">
        <v>16</v>
      </c>
      <c r="C14">
        <v>422123</v>
      </c>
      <c r="D14" t="s">
        <v>14</v>
      </c>
      <c r="E14" s="11">
        <v>0.501388888888889</v>
      </c>
      <c r="F14" s="11">
        <v>0.59375</v>
      </c>
      <c r="G14">
        <f t="shared" si="0"/>
        <v>133</v>
      </c>
      <c r="H14">
        <f>_xlfn.XLOOKUP(B14,Products!$A$2:$A$7,Products!$D$2:$D$7)</f>
        <v>60</v>
      </c>
    </row>
    <row r="15" spans="1:8">
      <c r="A15" s="10">
        <v>45534</v>
      </c>
      <c r="B15" t="s">
        <v>16</v>
      </c>
      <c r="C15">
        <v>422124</v>
      </c>
      <c r="D15" t="s">
        <v>14</v>
      </c>
      <c r="E15" s="11">
        <v>0.59375</v>
      </c>
      <c r="F15" s="11">
        <v>0.663194444444444</v>
      </c>
      <c r="G15">
        <f t="shared" si="0"/>
        <v>100</v>
      </c>
      <c r="H15">
        <f>_xlfn.XLOOKUP(B15,Products!$A$2:$A$7,Products!$D$2:$D$7)</f>
        <v>60</v>
      </c>
    </row>
    <row r="16" spans="1:8">
      <c r="A16" s="10">
        <v>45534</v>
      </c>
      <c r="B16" t="s">
        <v>16</v>
      </c>
      <c r="C16">
        <v>422125</v>
      </c>
      <c r="D16" t="s">
        <v>13</v>
      </c>
      <c r="E16" s="11">
        <v>0.663194444444444</v>
      </c>
      <c r="F16" s="11">
        <v>0.71875</v>
      </c>
      <c r="G16">
        <f t="shared" si="0"/>
        <v>80</v>
      </c>
      <c r="H16">
        <f>_xlfn.XLOOKUP(B16,Products!$A$2:$A$7,Products!$D$2:$D$7)</f>
        <v>60</v>
      </c>
    </row>
    <row r="17" spans="1:8">
      <c r="A17" s="10">
        <v>45534</v>
      </c>
      <c r="B17" t="s">
        <v>16</v>
      </c>
      <c r="C17">
        <v>422126</v>
      </c>
      <c r="D17" t="s">
        <v>13</v>
      </c>
      <c r="E17" s="11">
        <v>0.71875</v>
      </c>
      <c r="F17" s="11">
        <v>0.790972222222222</v>
      </c>
      <c r="G17">
        <f t="shared" si="0"/>
        <v>104</v>
      </c>
      <c r="H17">
        <f>_xlfn.XLOOKUP(B17,Products!$A$2:$A$7,Products!$D$2:$D$7)</f>
        <v>60</v>
      </c>
    </row>
    <row r="18" spans="1:8">
      <c r="A18" s="10">
        <v>45534</v>
      </c>
      <c r="B18" t="s">
        <v>16</v>
      </c>
      <c r="C18">
        <v>422127</v>
      </c>
      <c r="D18" t="s">
        <v>13</v>
      </c>
      <c r="E18" s="11">
        <v>0.790972222222222</v>
      </c>
      <c r="F18" s="11">
        <v>0.848611111111111</v>
      </c>
      <c r="G18">
        <f t="shared" si="0"/>
        <v>83</v>
      </c>
      <c r="H18">
        <f>_xlfn.XLOOKUP(B18,Products!$A$2:$A$7,Products!$D$2:$D$7)</f>
        <v>60</v>
      </c>
    </row>
    <row r="19" spans="1:8">
      <c r="A19" s="10">
        <v>45534</v>
      </c>
      <c r="B19" t="s">
        <v>16</v>
      </c>
      <c r="C19">
        <v>422128</v>
      </c>
      <c r="D19" t="s">
        <v>13</v>
      </c>
      <c r="E19" s="11">
        <v>0.848611111111111</v>
      </c>
      <c r="F19" s="11">
        <v>0.926388888888889</v>
      </c>
      <c r="G19">
        <f t="shared" si="0"/>
        <v>112</v>
      </c>
      <c r="H19">
        <f>_xlfn.XLOOKUP(B19,Products!$A$2:$A$7,Products!$D$2:$D$7)</f>
        <v>60</v>
      </c>
    </row>
    <row r="20" spans="1:8">
      <c r="A20" s="10">
        <v>45534</v>
      </c>
      <c r="B20" t="s">
        <v>16</v>
      </c>
      <c r="C20">
        <v>422129</v>
      </c>
      <c r="D20" t="s">
        <v>13</v>
      </c>
      <c r="E20" s="11">
        <v>0.926388888888889</v>
      </c>
      <c r="F20" s="11">
        <v>0.978472222222222</v>
      </c>
      <c r="G20">
        <f t="shared" si="0"/>
        <v>74.9999999999999</v>
      </c>
      <c r="H20">
        <f>_xlfn.XLOOKUP(B20,Products!$A$2:$A$7,Products!$D$2:$D$7)</f>
        <v>60</v>
      </c>
    </row>
    <row r="21" spans="1:8">
      <c r="A21" s="10">
        <v>45535</v>
      </c>
      <c r="B21" t="s">
        <v>16</v>
      </c>
      <c r="C21">
        <v>422130</v>
      </c>
      <c r="D21" t="s">
        <v>15</v>
      </c>
      <c r="E21" s="11">
        <v>0.322916666666667</v>
      </c>
      <c r="F21" s="11">
        <v>0.378472222222222</v>
      </c>
      <c r="G21">
        <f t="shared" si="0"/>
        <v>80</v>
      </c>
      <c r="H21">
        <f>_xlfn.XLOOKUP(B21,Products!$A$2:$A$7,Products!$D$2:$D$7)</f>
        <v>60</v>
      </c>
    </row>
    <row r="22" spans="1:8">
      <c r="A22" s="10">
        <v>45535</v>
      </c>
      <c r="B22" t="s">
        <v>16</v>
      </c>
      <c r="C22">
        <v>422131</v>
      </c>
      <c r="D22" t="s">
        <v>15</v>
      </c>
      <c r="E22" s="11">
        <v>0.378472222222222</v>
      </c>
      <c r="F22" s="11">
        <v>0.440972222222222</v>
      </c>
      <c r="G22">
        <f t="shared" si="0"/>
        <v>90</v>
      </c>
      <c r="H22">
        <f>_xlfn.XLOOKUP(B22,Products!$A$2:$A$7,Products!$D$2:$D$7)</f>
        <v>60</v>
      </c>
    </row>
    <row r="23" spans="1:8">
      <c r="A23" s="10">
        <v>45535</v>
      </c>
      <c r="B23" t="s">
        <v>16</v>
      </c>
      <c r="C23">
        <v>422132</v>
      </c>
      <c r="D23" t="s">
        <v>15</v>
      </c>
      <c r="E23" s="11">
        <v>0.440972222222222</v>
      </c>
      <c r="F23" s="11">
        <v>0.482638888888889</v>
      </c>
      <c r="G23">
        <f t="shared" si="0"/>
        <v>60</v>
      </c>
      <c r="H23">
        <f>_xlfn.XLOOKUP(B23,Products!$A$2:$A$7,Products!$D$2:$D$7)</f>
        <v>60</v>
      </c>
    </row>
    <row r="24" spans="1:8">
      <c r="A24" s="10">
        <v>45535</v>
      </c>
      <c r="B24" t="s">
        <v>18</v>
      </c>
      <c r="C24">
        <v>422133</v>
      </c>
      <c r="D24" t="s">
        <v>15</v>
      </c>
      <c r="E24" s="11">
        <v>0.482638888888889</v>
      </c>
      <c r="F24" s="11">
        <v>0.538194444444444</v>
      </c>
      <c r="G24">
        <f t="shared" si="0"/>
        <v>80</v>
      </c>
      <c r="H24">
        <f>_xlfn.XLOOKUP(B24,Products!$A$2:$A$7,Products!$D$2:$D$7)</f>
        <v>60</v>
      </c>
    </row>
    <row r="25" spans="1:8">
      <c r="A25" s="10">
        <v>45535</v>
      </c>
      <c r="B25" t="s">
        <v>18</v>
      </c>
      <c r="C25">
        <v>422134</v>
      </c>
      <c r="D25" t="s">
        <v>9</v>
      </c>
      <c r="E25" s="11">
        <v>0.538194444444444</v>
      </c>
      <c r="F25" s="11">
        <v>0.614583333333333</v>
      </c>
      <c r="G25">
        <f t="shared" si="0"/>
        <v>110</v>
      </c>
      <c r="H25">
        <f>_xlfn.XLOOKUP(B25,Products!$A$2:$A$7,Products!$D$2:$D$7)</f>
        <v>60</v>
      </c>
    </row>
    <row r="26" spans="1:8">
      <c r="A26" s="10">
        <v>45535</v>
      </c>
      <c r="B26" t="s">
        <v>18</v>
      </c>
      <c r="C26">
        <v>422135</v>
      </c>
      <c r="D26" t="s">
        <v>9</v>
      </c>
      <c r="E26" s="11">
        <v>0.614583333333333</v>
      </c>
      <c r="F26" s="11">
        <v>0.6875</v>
      </c>
      <c r="G26">
        <f t="shared" si="0"/>
        <v>105</v>
      </c>
      <c r="H26">
        <f>_xlfn.XLOOKUP(B26,Products!$A$2:$A$7,Products!$D$2:$D$7)</f>
        <v>60</v>
      </c>
    </row>
    <row r="27" spans="1:8">
      <c r="A27" s="10">
        <v>45535</v>
      </c>
      <c r="B27" t="s">
        <v>18</v>
      </c>
      <c r="C27">
        <v>422136</v>
      </c>
      <c r="D27" t="s">
        <v>9</v>
      </c>
      <c r="E27" s="11">
        <v>0.6875</v>
      </c>
      <c r="F27" s="11">
        <v>0.729166666666667</v>
      </c>
      <c r="G27">
        <f t="shared" si="0"/>
        <v>59.9999999999999</v>
      </c>
      <c r="H27">
        <f>_xlfn.XLOOKUP(B27,Products!$A$2:$A$7,Products!$D$2:$D$7)</f>
        <v>60</v>
      </c>
    </row>
    <row r="28" spans="1:8">
      <c r="A28" s="10">
        <v>45537</v>
      </c>
      <c r="B28" t="s">
        <v>19</v>
      </c>
      <c r="C28">
        <v>422137</v>
      </c>
      <c r="D28" t="s">
        <v>15</v>
      </c>
      <c r="E28" s="11">
        <v>0.0416666666666667</v>
      </c>
      <c r="F28" s="11">
        <v>0.114583333333333</v>
      </c>
      <c r="G28">
        <f t="shared" si="0"/>
        <v>105</v>
      </c>
      <c r="H28">
        <f>_xlfn.XLOOKUP(B28,Products!$A$2:$A$7,Products!$D$2:$D$7)</f>
        <v>60</v>
      </c>
    </row>
    <row r="29" spans="1:8">
      <c r="A29" s="10">
        <v>45537</v>
      </c>
      <c r="B29" t="s">
        <v>19</v>
      </c>
      <c r="C29">
        <v>422138</v>
      </c>
      <c r="D29" t="s">
        <v>15</v>
      </c>
      <c r="E29" s="11">
        <v>0.114583333333333</v>
      </c>
      <c r="F29" s="11">
        <v>0.170138888888889</v>
      </c>
      <c r="G29">
        <f t="shared" si="0"/>
        <v>80</v>
      </c>
      <c r="H29">
        <f>_xlfn.XLOOKUP(B29,Products!$A$2:$A$7,Products!$D$2:$D$7)</f>
        <v>60</v>
      </c>
    </row>
    <row r="30" spans="1:8">
      <c r="A30" s="10">
        <v>45537</v>
      </c>
      <c r="B30" t="s">
        <v>19</v>
      </c>
      <c r="C30">
        <v>422139</v>
      </c>
      <c r="D30" t="s">
        <v>15</v>
      </c>
      <c r="E30" s="11">
        <v>0.170138888888889</v>
      </c>
      <c r="F30" s="11">
        <v>0.236111111111111</v>
      </c>
      <c r="G30">
        <f t="shared" si="0"/>
        <v>95</v>
      </c>
      <c r="H30">
        <f>_xlfn.XLOOKUP(B30,Products!$A$2:$A$7,Products!$D$2:$D$7)</f>
        <v>60</v>
      </c>
    </row>
    <row r="31" spans="1:8">
      <c r="A31" s="10">
        <v>45537</v>
      </c>
      <c r="B31" t="s">
        <v>19</v>
      </c>
      <c r="C31">
        <v>422140</v>
      </c>
      <c r="D31" t="s">
        <v>15</v>
      </c>
      <c r="E31" s="11">
        <v>0.236111111111111</v>
      </c>
      <c r="F31" s="11">
        <v>0.321527777777778</v>
      </c>
      <c r="G31">
        <f t="shared" si="0"/>
        <v>123</v>
      </c>
      <c r="H31">
        <f>_xlfn.XLOOKUP(B31,Products!$A$2:$A$7,Products!$D$2:$D$7)</f>
        <v>60</v>
      </c>
    </row>
    <row r="32" spans="1:8">
      <c r="A32" s="10">
        <v>45537</v>
      </c>
      <c r="B32" t="s">
        <v>19</v>
      </c>
      <c r="C32">
        <v>422141</v>
      </c>
      <c r="D32" t="s">
        <v>14</v>
      </c>
      <c r="E32" s="11">
        <v>0.321527777777778</v>
      </c>
      <c r="F32" s="11">
        <v>0.368055555555556</v>
      </c>
      <c r="G32">
        <f t="shared" si="0"/>
        <v>67</v>
      </c>
      <c r="H32">
        <f>_xlfn.XLOOKUP(B32,Products!$A$2:$A$7,Products!$D$2:$D$7)</f>
        <v>60</v>
      </c>
    </row>
    <row r="33" spans="1:8">
      <c r="A33" s="10">
        <v>45537</v>
      </c>
      <c r="B33" t="s">
        <v>19</v>
      </c>
      <c r="C33">
        <v>422142</v>
      </c>
      <c r="D33" t="s">
        <v>14</v>
      </c>
      <c r="E33" s="11">
        <v>0.368055555555556</v>
      </c>
      <c r="F33" s="11">
        <v>0.430555555555556</v>
      </c>
      <c r="G33">
        <f t="shared" si="0"/>
        <v>90</v>
      </c>
      <c r="H33">
        <f>_xlfn.XLOOKUP(B33,Products!$A$2:$A$7,Products!$D$2:$D$7)</f>
        <v>60</v>
      </c>
    </row>
    <row r="34" spans="1:8">
      <c r="A34" s="10">
        <v>45537</v>
      </c>
      <c r="B34" t="s">
        <v>19</v>
      </c>
      <c r="C34">
        <v>422143</v>
      </c>
      <c r="D34" t="s">
        <v>14</v>
      </c>
      <c r="E34" s="11">
        <v>0.430555555555556</v>
      </c>
      <c r="F34" s="11">
        <v>0.5125</v>
      </c>
      <c r="G34">
        <f t="shared" si="0"/>
        <v>118</v>
      </c>
      <c r="H34">
        <f>_xlfn.XLOOKUP(B34,Products!$A$2:$A$7,Products!$D$2:$D$7)</f>
        <v>60</v>
      </c>
    </row>
    <row r="35" spans="1:8">
      <c r="A35" s="10">
        <v>45537</v>
      </c>
      <c r="B35" t="s">
        <v>20</v>
      </c>
      <c r="C35">
        <v>422144</v>
      </c>
      <c r="D35" t="s">
        <v>14</v>
      </c>
      <c r="E35" s="11">
        <v>0.5125</v>
      </c>
      <c r="F35" s="11">
        <v>0.618055555555556</v>
      </c>
      <c r="G35">
        <f t="shared" si="0"/>
        <v>152</v>
      </c>
      <c r="H35">
        <f>_xlfn.XLOOKUP(B35,Products!$A$2:$A$7,Products!$D$2:$D$7)</f>
        <v>98</v>
      </c>
    </row>
    <row r="36" spans="1:8">
      <c r="A36" s="10">
        <v>45537</v>
      </c>
      <c r="B36" t="s">
        <v>20</v>
      </c>
      <c r="C36">
        <v>422145</v>
      </c>
      <c r="D36" t="s">
        <v>13</v>
      </c>
      <c r="E36" s="11">
        <v>0.618055555555556</v>
      </c>
      <c r="F36" s="11">
        <v>0.701388888888889</v>
      </c>
      <c r="G36">
        <f t="shared" si="0"/>
        <v>120</v>
      </c>
      <c r="H36">
        <f>_xlfn.XLOOKUP(B36,Products!$A$2:$A$7,Products!$D$2:$D$7)</f>
        <v>98</v>
      </c>
    </row>
    <row r="37" spans="1:8">
      <c r="A37" s="10">
        <v>45537</v>
      </c>
      <c r="B37" t="s">
        <v>20</v>
      </c>
      <c r="C37">
        <v>422146</v>
      </c>
      <c r="D37" t="s">
        <v>13</v>
      </c>
      <c r="E37" s="11">
        <v>0.701388888888889</v>
      </c>
      <c r="F37" s="11">
        <v>0.8125</v>
      </c>
      <c r="G37">
        <f t="shared" si="0"/>
        <v>160</v>
      </c>
      <c r="H37">
        <f>_xlfn.XLOOKUP(B37,Products!$A$2:$A$7,Products!$D$2:$D$7)</f>
        <v>98</v>
      </c>
    </row>
    <row r="38" spans="1:8">
      <c r="A38" s="10">
        <v>45537</v>
      </c>
      <c r="B38" t="s">
        <v>20</v>
      </c>
      <c r="C38">
        <v>422147</v>
      </c>
      <c r="D38" t="s">
        <v>13</v>
      </c>
      <c r="E38" s="11">
        <v>0.8125</v>
      </c>
      <c r="F38" s="11">
        <v>0.954861111111111</v>
      </c>
      <c r="G38">
        <f t="shared" si="0"/>
        <v>205</v>
      </c>
      <c r="H38">
        <f>_xlfn.XLOOKUP(B38,Products!$A$2:$A$7,Products!$D$2:$D$7)</f>
        <v>98</v>
      </c>
    </row>
    <row r="39" spans="1:8">
      <c r="A39" s="10">
        <v>45538</v>
      </c>
      <c r="B39" t="s">
        <v>20</v>
      </c>
      <c r="C39">
        <v>422148</v>
      </c>
      <c r="D39" t="s">
        <v>9</v>
      </c>
      <c r="E39" s="11">
        <v>0.954861111111111</v>
      </c>
      <c r="F39" s="11">
        <v>1.04513888888889</v>
      </c>
      <c r="G39">
        <f t="shared" si="0"/>
        <v>130</v>
      </c>
      <c r="H39">
        <f>_xlfn.XLOOKUP(B39,Products!$A$2:$A$7,Products!$D$2:$D$7)</f>
        <v>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cols>
    <col min="2" max="2" width="11.1759259259259" customWidth="1"/>
    <col min="4" max="4" width="14.4537037037037" customWidth="1"/>
  </cols>
  <sheetData>
    <row r="1" spans="1:4">
      <c r="A1" s="8" t="s">
        <v>1</v>
      </c>
      <c r="B1" s="8" t="s">
        <v>21</v>
      </c>
      <c r="C1" s="8" t="s">
        <v>22</v>
      </c>
      <c r="D1" s="8" t="s">
        <v>23</v>
      </c>
    </row>
    <row r="2" spans="1:4">
      <c r="A2" t="s">
        <v>8</v>
      </c>
      <c r="B2" t="s">
        <v>24</v>
      </c>
      <c r="C2" t="s">
        <v>25</v>
      </c>
      <c r="D2">
        <v>60</v>
      </c>
    </row>
    <row r="3" spans="1:4">
      <c r="A3" t="s">
        <v>10</v>
      </c>
      <c r="B3" t="s">
        <v>26</v>
      </c>
      <c r="C3" t="s">
        <v>25</v>
      </c>
      <c r="D3">
        <v>60</v>
      </c>
    </row>
    <row r="4" spans="1:4">
      <c r="A4" t="s">
        <v>16</v>
      </c>
      <c r="B4" t="s">
        <v>27</v>
      </c>
      <c r="C4" t="s">
        <v>25</v>
      </c>
      <c r="D4">
        <v>60</v>
      </c>
    </row>
    <row r="5" spans="1:4">
      <c r="A5" t="s">
        <v>18</v>
      </c>
      <c r="B5" t="s">
        <v>28</v>
      </c>
      <c r="C5" t="s">
        <v>25</v>
      </c>
      <c r="D5">
        <v>60</v>
      </c>
    </row>
    <row r="6" spans="1:4">
      <c r="A6" t="s">
        <v>19</v>
      </c>
      <c r="B6" t="s">
        <v>29</v>
      </c>
      <c r="C6" t="s">
        <v>25</v>
      </c>
      <c r="D6">
        <v>60</v>
      </c>
    </row>
    <row r="7" spans="1:4">
      <c r="A7" t="s">
        <v>20</v>
      </c>
      <c r="B7" t="s">
        <v>27</v>
      </c>
      <c r="C7" t="s">
        <v>30</v>
      </c>
      <c r="D7">
        <v>98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zoomScale="80" zoomScaleNormal="80" workbookViewId="0">
      <selection activeCell="G21" sqref="G21"/>
    </sheetView>
  </sheetViews>
  <sheetFormatPr defaultColWidth="9" defaultRowHeight="14.4" outlineLevelCol="4"/>
  <cols>
    <col min="1" max="1" width="8.81481481481481" customWidth="1"/>
    <col min="2" max="2" width="19.2685185185185" customWidth="1"/>
    <col min="3" max="3" width="14" customWidth="1"/>
    <col min="4" max="4" width="9.36111111111111" customWidth="1"/>
  </cols>
  <sheetData>
    <row r="1" spans="1:5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</row>
    <row r="2" spans="1:5">
      <c r="A2">
        <v>6</v>
      </c>
      <c r="B2" t="s">
        <v>36</v>
      </c>
      <c r="C2" t="s">
        <v>37</v>
      </c>
      <c r="D2">
        <f>SUM(INDEX('Line downtime'!$C$3:$N$40,,MATCH(A2,'Line downtime'!$C$2:$N$2,0)))</f>
        <v>332</v>
      </c>
      <c r="E2" s="9">
        <f>SUM($D$2:D2)/SUM($D$2:$D$13)</f>
        <v>0.239193083573487</v>
      </c>
    </row>
    <row r="3" spans="1:5">
      <c r="A3">
        <v>7</v>
      </c>
      <c r="B3" t="s">
        <v>38</v>
      </c>
      <c r="C3" t="s">
        <v>39</v>
      </c>
      <c r="D3">
        <f>SUM(INDEX('Line downtime'!$C$3:$N$40,,MATCH(A3,'Line downtime'!$C$2:$N$2,0)))</f>
        <v>254</v>
      </c>
      <c r="E3" s="9">
        <f>SUM($D$2:D3)/SUM($D$2:$D$13)</f>
        <v>0.422190201729107</v>
      </c>
    </row>
    <row r="4" spans="1:5">
      <c r="A4">
        <v>4</v>
      </c>
      <c r="B4" t="s">
        <v>40</v>
      </c>
      <c r="C4" t="s">
        <v>39</v>
      </c>
      <c r="D4">
        <f>SUM(INDEX('Line downtime'!$C$3:$N$40,,MATCH(A4,'Line downtime'!$C$2:$N$2,0)))</f>
        <v>225</v>
      </c>
      <c r="E4" s="9">
        <f>SUM($D$2:D4)/SUM($D$2:$D$13)</f>
        <v>0.584293948126801</v>
      </c>
    </row>
    <row r="5" spans="1:5">
      <c r="A5">
        <v>2</v>
      </c>
      <c r="B5" t="s">
        <v>41</v>
      </c>
      <c r="C5" t="s">
        <v>37</v>
      </c>
      <c r="D5">
        <f>SUM(INDEX('Line downtime'!$C$3:$N$40,,MATCH(A5,'Line downtime'!$C$2:$N$2,0)))</f>
        <v>160</v>
      </c>
      <c r="E5" s="9">
        <f>SUM($D$2:D5)/SUM($D$2:$D$13)</f>
        <v>0.699567723342939</v>
      </c>
    </row>
    <row r="6" spans="1:5">
      <c r="A6">
        <v>8</v>
      </c>
      <c r="B6" t="s">
        <v>42</v>
      </c>
      <c r="C6" t="s">
        <v>37</v>
      </c>
      <c r="D6">
        <f>SUM(INDEX('Line downtime'!$C$3:$N$40,,MATCH(A6,'Line downtime'!$C$2:$N$2,0)))</f>
        <v>145</v>
      </c>
      <c r="E6" s="9">
        <f>SUM($D$2:D6)/SUM($D$2:$D$13)</f>
        <v>0.804034582132565</v>
      </c>
    </row>
    <row r="7" spans="1:5">
      <c r="A7">
        <v>12</v>
      </c>
      <c r="B7" t="s">
        <v>43</v>
      </c>
      <c r="C7" t="s">
        <v>39</v>
      </c>
      <c r="D7">
        <f>SUM(INDEX('Line downtime'!$C$3:$N$40,,MATCH(A7,'Line downtime'!$C$2:$N$2,0)))</f>
        <v>74</v>
      </c>
      <c r="E7" s="9">
        <f>SUM($D$2:D7)/SUM($D$2:$D$13)</f>
        <v>0.857348703170029</v>
      </c>
    </row>
    <row r="8" spans="1:5">
      <c r="A8">
        <v>5</v>
      </c>
      <c r="B8" t="s">
        <v>44</v>
      </c>
      <c r="C8" t="s">
        <v>37</v>
      </c>
      <c r="D8">
        <f>SUM(INDEX('Line downtime'!$C$3:$N$40,,MATCH(A8,'Line downtime'!$C$2:$N$2,0)))</f>
        <v>57</v>
      </c>
      <c r="E8" s="9">
        <f>SUM($D$2:D8)/SUM($D$2:$D$13)</f>
        <v>0.898414985590778</v>
      </c>
    </row>
    <row r="9" spans="1:5">
      <c r="A9">
        <v>10</v>
      </c>
      <c r="B9" t="s">
        <v>45</v>
      </c>
      <c r="C9" t="s">
        <v>37</v>
      </c>
      <c r="D9">
        <f>SUM(INDEX('Line downtime'!$C$3:$N$40,,MATCH(A9,'Line downtime'!$C$2:$N$2,0)))</f>
        <v>49</v>
      </c>
      <c r="E9" s="9">
        <f>SUM($D$2:D9)/SUM($D$2:$D$13)</f>
        <v>0.93371757925072</v>
      </c>
    </row>
    <row r="10" spans="1:5">
      <c r="A10">
        <v>3</v>
      </c>
      <c r="B10" t="s">
        <v>46</v>
      </c>
      <c r="C10" t="s">
        <v>39</v>
      </c>
      <c r="D10">
        <f>SUM(INDEX('Line downtime'!$C$3:$N$40,,MATCH(A10,'Line downtime'!$C$2:$N$2,0)))</f>
        <v>42</v>
      </c>
      <c r="E10" s="9">
        <f>SUM($D$2:D10)/SUM($D$2:$D$13)</f>
        <v>0.963976945244957</v>
      </c>
    </row>
    <row r="11" spans="1:5">
      <c r="A11">
        <v>11</v>
      </c>
      <c r="B11" t="s">
        <v>47</v>
      </c>
      <c r="C11" t="s">
        <v>37</v>
      </c>
      <c r="D11">
        <f>SUM(INDEX('Line downtime'!$C$3:$N$40,,MATCH(A11,'Line downtime'!$C$2:$N$2,0)))</f>
        <v>33</v>
      </c>
      <c r="E11" s="9">
        <f>SUM($D$2:D11)/SUM($D$2:$D$13)</f>
        <v>0.987752161383285</v>
      </c>
    </row>
    <row r="12" spans="1:5">
      <c r="A12">
        <v>9</v>
      </c>
      <c r="B12" t="s">
        <v>48</v>
      </c>
      <c r="C12" t="s">
        <v>39</v>
      </c>
      <c r="D12">
        <f>SUM(INDEX('Line downtime'!$C$3:$N$40,,MATCH(A12,'Line downtime'!$C$2:$N$2,0)))</f>
        <v>17</v>
      </c>
      <c r="E12" s="9">
        <f>SUM($D$2:D12)/SUM($D$2:$D$13)</f>
        <v>1</v>
      </c>
    </row>
    <row r="13" spans="1:5">
      <c r="A13">
        <v>1</v>
      </c>
      <c r="B13" t="s">
        <v>49</v>
      </c>
      <c r="C13" t="s">
        <v>39</v>
      </c>
      <c r="D13">
        <f>SUM(INDEX('Line downtime'!$C$3:$N$40,,MATCH(A13,'Line downtime'!$C$2:$N$2,0)))</f>
        <v>0</v>
      </c>
      <c r="E13" s="9">
        <f>SUM($D$2:D13)/SUM($D$2:$D$13)</f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C11" sqref="C11"/>
    </sheetView>
  </sheetViews>
  <sheetFormatPr defaultColWidth="9" defaultRowHeight="14.4"/>
  <cols>
    <col min="1" max="2" width="8.81481481481481" customWidth="1"/>
    <col min="3" max="14" width="5.5462962962963" customWidth="1"/>
  </cols>
  <sheetData>
    <row r="1" spans="3:14">
      <c r="C1" s="3" t="s">
        <v>50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8" t="s">
        <v>2</v>
      </c>
      <c r="B2" s="8" t="s">
        <v>3</v>
      </c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</row>
    <row r="3" spans="1:9">
      <c r="A3">
        <v>422111</v>
      </c>
      <c r="B3" t="str">
        <f>_xlfn.XLOOKUP(A3,'Line productivity'!$C$2:$C$39,'Line productivity'!$D$2:$D$39)</f>
        <v>Mac</v>
      </c>
      <c r="D3">
        <v>60</v>
      </c>
      <c r="I3">
        <v>15</v>
      </c>
    </row>
    <row r="4" spans="1:10">
      <c r="A4">
        <v>422112</v>
      </c>
      <c r="B4" t="str">
        <f>_xlfn.XLOOKUP(A4,'Line productivity'!$C$2:$C$39,'Line productivity'!$D$2:$D$39)</f>
        <v>Mac</v>
      </c>
      <c r="D4">
        <v>20</v>
      </c>
      <c r="J4">
        <v>20</v>
      </c>
    </row>
    <row r="5" spans="1:4">
      <c r="A5">
        <v>422113</v>
      </c>
      <c r="B5" t="str">
        <f>_xlfn.XLOOKUP(A5,'Line productivity'!$C$2:$C$39,'Line productivity'!$D$2:$D$39)</f>
        <v>Mac</v>
      </c>
      <c r="D5">
        <v>50</v>
      </c>
    </row>
    <row r="6" spans="1:8">
      <c r="A6">
        <v>422114</v>
      </c>
      <c r="B6" t="str">
        <f>_xlfn.XLOOKUP(A6,'Line productivity'!$C$2:$C$39,'Line productivity'!$D$2:$D$39)</f>
        <v>Mac</v>
      </c>
      <c r="F6">
        <v>25</v>
      </c>
      <c r="H6">
        <v>15</v>
      </c>
    </row>
    <row r="7" spans="1:12">
      <c r="A7">
        <v>422115</v>
      </c>
      <c r="B7" t="str">
        <f>_xlfn.XLOOKUP(A7,'Line productivity'!$C$2:$C$39,'Line productivity'!$D$2:$D$39)</f>
        <v>Charlie</v>
      </c>
      <c r="L7">
        <v>24</v>
      </c>
    </row>
    <row r="8" spans="1:2">
      <c r="A8">
        <v>422116</v>
      </c>
      <c r="B8" t="str">
        <f>_xlfn.XLOOKUP(A8,'Line productivity'!$C$2:$C$39,'Line productivity'!$D$2:$D$39)</f>
        <v>Charlie</v>
      </c>
    </row>
    <row r="9" spans="1:8">
      <c r="A9">
        <v>422117</v>
      </c>
      <c r="B9" t="str">
        <f>_xlfn.XLOOKUP(A9,'Line productivity'!$C$2:$C$39,'Line productivity'!$D$2:$D$39)</f>
        <v>Charlie</v>
      </c>
      <c r="D9">
        <v>10</v>
      </c>
      <c r="H9">
        <v>5</v>
      </c>
    </row>
    <row r="10" spans="1:14">
      <c r="A10">
        <v>422118</v>
      </c>
      <c r="B10" t="str">
        <f>_xlfn.XLOOKUP(A10,'Line productivity'!$C$2:$C$39,'Line productivity'!$D$2:$D$39)</f>
        <v>Dee</v>
      </c>
      <c r="H10">
        <v>14</v>
      </c>
      <c r="I10">
        <v>16</v>
      </c>
      <c r="M10">
        <v>10</v>
      </c>
      <c r="N10">
        <v>20</v>
      </c>
    </row>
    <row r="11" spans="1:6">
      <c r="A11">
        <v>422119</v>
      </c>
      <c r="B11" t="str">
        <f>_xlfn.XLOOKUP(A11,'Line productivity'!$C$2:$C$39,'Line productivity'!$D$2:$D$39)</f>
        <v>Dee</v>
      </c>
      <c r="F11">
        <v>25</v>
      </c>
    </row>
    <row r="12" spans="1:11">
      <c r="A12">
        <v>422120</v>
      </c>
      <c r="B12" t="str">
        <f>_xlfn.XLOOKUP(A12,'Line productivity'!$C$2:$C$39,'Line productivity'!$D$2:$D$39)</f>
        <v>Dee</v>
      </c>
      <c r="F12">
        <v>20</v>
      </c>
      <c r="G12">
        <v>15</v>
      </c>
      <c r="K12">
        <v>17</v>
      </c>
    </row>
    <row r="13" spans="1:9">
      <c r="A13">
        <v>422121</v>
      </c>
      <c r="B13" t="str">
        <f>_xlfn.XLOOKUP(A13,'Line productivity'!$C$2:$C$39,'Line productivity'!$D$2:$D$39)</f>
        <v>Dennis</v>
      </c>
      <c r="I13">
        <v>15</v>
      </c>
    </row>
    <row r="14" spans="1:9">
      <c r="A14">
        <v>422122</v>
      </c>
      <c r="B14" t="str">
        <f>_xlfn.XLOOKUP(A14,'Line productivity'!$C$2:$C$39,'Line productivity'!$D$2:$D$39)</f>
        <v>Dennis</v>
      </c>
      <c r="I14">
        <v>25</v>
      </c>
    </row>
    <row r="15" spans="1:9">
      <c r="A15">
        <v>422123</v>
      </c>
      <c r="B15" t="str">
        <f>_xlfn.XLOOKUP(A15,'Line productivity'!$C$2:$C$39,'Line productivity'!$D$2:$D$39)</f>
        <v>Dennis</v>
      </c>
      <c r="F15">
        <v>43</v>
      </c>
      <c r="I15">
        <v>30</v>
      </c>
    </row>
    <row r="16" spans="1:8">
      <c r="A16">
        <v>422124</v>
      </c>
      <c r="B16" t="str">
        <f>_xlfn.XLOOKUP(A16,'Line productivity'!$C$2:$C$39,'Line productivity'!$D$2:$D$39)</f>
        <v>Dennis</v>
      </c>
      <c r="G16">
        <v>20</v>
      </c>
      <c r="H16">
        <v>20</v>
      </c>
    </row>
    <row r="17" spans="1:14">
      <c r="A17">
        <v>422125</v>
      </c>
      <c r="B17" t="str">
        <f>_xlfn.XLOOKUP(A17,'Line productivity'!$C$2:$C$39,'Line productivity'!$D$2:$D$39)</f>
        <v>Charlie</v>
      </c>
      <c r="M17">
        <v>10</v>
      </c>
      <c r="N17">
        <v>10</v>
      </c>
    </row>
    <row r="18" spans="1:10">
      <c r="A18">
        <v>422126</v>
      </c>
      <c r="B18" t="str">
        <f>_xlfn.XLOOKUP(A18,'Line productivity'!$C$2:$C$39,'Line productivity'!$D$2:$D$39)</f>
        <v>Charlie</v>
      </c>
      <c r="J18">
        <v>44</v>
      </c>
    </row>
    <row r="19" spans="1:8">
      <c r="A19">
        <v>422127</v>
      </c>
      <c r="B19" t="str">
        <f>_xlfn.XLOOKUP(A19,'Line productivity'!$C$2:$C$39,'Line productivity'!$D$2:$D$39)</f>
        <v>Charlie</v>
      </c>
      <c r="H19">
        <v>23</v>
      </c>
    </row>
    <row r="20" spans="1:9">
      <c r="A20">
        <v>422128</v>
      </c>
      <c r="B20" t="str">
        <f>_xlfn.XLOOKUP(A20,'Line productivity'!$C$2:$C$39,'Line productivity'!$D$2:$D$39)</f>
        <v>Charlie</v>
      </c>
      <c r="G20">
        <v>22</v>
      </c>
      <c r="I20">
        <v>30</v>
      </c>
    </row>
    <row r="21" spans="1:14">
      <c r="A21">
        <v>422129</v>
      </c>
      <c r="B21" t="str">
        <f>_xlfn.XLOOKUP(A21,'Line productivity'!$C$2:$C$39,'Line productivity'!$D$2:$D$39)</f>
        <v>Charlie</v>
      </c>
      <c r="N21">
        <v>15</v>
      </c>
    </row>
    <row r="22" spans="1:4">
      <c r="A22">
        <v>422130</v>
      </c>
      <c r="B22" t="str">
        <f>_xlfn.XLOOKUP(A22,'Line productivity'!$C$2:$C$39,'Line productivity'!$D$2:$D$39)</f>
        <v>Dee</v>
      </c>
      <c r="D22">
        <v>20</v>
      </c>
    </row>
    <row r="23" spans="1:12">
      <c r="A23">
        <v>422131</v>
      </c>
      <c r="B23" t="str">
        <f>_xlfn.XLOOKUP(A23,'Line productivity'!$C$2:$C$39,'Line productivity'!$D$2:$D$39)</f>
        <v>Dee</v>
      </c>
      <c r="F23">
        <v>20</v>
      </c>
      <c r="L23">
        <v>10</v>
      </c>
    </row>
    <row r="24" spans="1:2">
      <c r="A24">
        <v>422132</v>
      </c>
      <c r="B24" t="str">
        <f>_xlfn.XLOOKUP(A24,'Line productivity'!$C$2:$C$39,'Line productivity'!$D$2:$D$39)</f>
        <v>Dee</v>
      </c>
    </row>
    <row r="25" spans="1:9">
      <c r="A25">
        <v>422133</v>
      </c>
      <c r="B25" t="str">
        <f>_xlfn.XLOOKUP(A25,'Line productivity'!$C$2:$C$39,'Line productivity'!$D$2:$D$39)</f>
        <v>Dee</v>
      </c>
      <c r="I25">
        <v>20</v>
      </c>
    </row>
    <row r="26" spans="1:10">
      <c r="A26">
        <v>422134</v>
      </c>
      <c r="B26" t="str">
        <f>_xlfn.XLOOKUP(A26,'Line productivity'!$C$2:$C$39,'Line productivity'!$D$2:$D$39)</f>
        <v>Mac</v>
      </c>
      <c r="I26">
        <v>30</v>
      </c>
      <c r="J26">
        <v>20</v>
      </c>
    </row>
    <row r="27" spans="1:14">
      <c r="A27">
        <v>422135</v>
      </c>
      <c r="B27" t="str">
        <f>_xlfn.XLOOKUP(A27,'Line productivity'!$C$2:$C$39,'Line productivity'!$D$2:$D$39)</f>
        <v>Mac</v>
      </c>
      <c r="F27">
        <v>30</v>
      </c>
      <c r="N27">
        <v>15</v>
      </c>
    </row>
    <row r="28" spans="1:2">
      <c r="A28">
        <v>422136</v>
      </c>
      <c r="B28" t="str">
        <f>_xlfn.XLOOKUP(A28,'Line productivity'!$C$2:$C$39,'Line productivity'!$D$2:$D$39)</f>
        <v>Mac</v>
      </c>
    </row>
    <row r="29" spans="1:12">
      <c r="A29">
        <v>422137</v>
      </c>
      <c r="B29" t="str">
        <f>_xlfn.XLOOKUP(A29,'Line productivity'!$C$2:$C$39,'Line productivity'!$D$2:$D$39)</f>
        <v>Dee</v>
      </c>
      <c r="J29">
        <v>30</v>
      </c>
      <c r="L29">
        <v>15</v>
      </c>
    </row>
    <row r="30" spans="1:5">
      <c r="A30">
        <v>422138</v>
      </c>
      <c r="B30" t="str">
        <f>_xlfn.XLOOKUP(A30,'Line productivity'!$C$2:$C$39,'Line productivity'!$D$2:$D$39)</f>
        <v>Dee</v>
      </c>
      <c r="E30">
        <v>20</v>
      </c>
    </row>
    <row r="31" spans="1:8">
      <c r="A31">
        <v>422139</v>
      </c>
      <c r="B31" t="str">
        <f>_xlfn.XLOOKUP(A31,'Line productivity'!$C$2:$C$39,'Line productivity'!$D$2:$D$39)</f>
        <v>Dee</v>
      </c>
      <c r="F31">
        <v>20</v>
      </c>
      <c r="H31">
        <v>15</v>
      </c>
    </row>
    <row r="32" spans="1:13">
      <c r="A32">
        <v>422140</v>
      </c>
      <c r="B32" t="str">
        <f>_xlfn.XLOOKUP(A32,'Line productivity'!$C$2:$C$39,'Line productivity'!$D$2:$D$39)</f>
        <v>Dee</v>
      </c>
      <c r="H32">
        <v>50</v>
      </c>
      <c r="M32">
        <v>13</v>
      </c>
    </row>
    <row r="33" spans="1:14">
      <c r="A33">
        <v>422141</v>
      </c>
      <c r="B33" t="str">
        <f>_xlfn.XLOOKUP(A33,'Line productivity'!$C$2:$C$39,'Line productivity'!$D$2:$D$39)</f>
        <v>Dennis</v>
      </c>
      <c r="N33">
        <v>7</v>
      </c>
    </row>
    <row r="34" spans="1:8">
      <c r="A34">
        <v>422142</v>
      </c>
      <c r="B34" t="str">
        <f>_xlfn.XLOOKUP(A34,'Line productivity'!$C$2:$C$39,'Line productivity'!$D$2:$D$39)</f>
        <v>Dennis</v>
      </c>
      <c r="H34">
        <v>30</v>
      </c>
    </row>
    <row r="35" spans="1:9">
      <c r="A35">
        <v>422143</v>
      </c>
      <c r="B35" t="str">
        <f>_xlfn.XLOOKUP(A35,'Line productivity'!$C$2:$C$39,'Line productivity'!$D$2:$D$39)</f>
        <v>Dennis</v>
      </c>
      <c r="H35">
        <v>40</v>
      </c>
      <c r="I35">
        <v>18</v>
      </c>
    </row>
    <row r="36" spans="1:10">
      <c r="A36">
        <v>422144</v>
      </c>
      <c r="B36" t="str">
        <f>_xlfn.XLOOKUP(A36,'Line productivity'!$C$2:$C$39,'Line productivity'!$D$2:$D$39)</f>
        <v>Dennis</v>
      </c>
      <c r="H36">
        <v>30</v>
      </c>
      <c r="J36">
        <v>24</v>
      </c>
    </row>
    <row r="37" spans="1:5">
      <c r="A37">
        <v>422145</v>
      </c>
      <c r="B37" t="str">
        <f>_xlfn.XLOOKUP(A37,'Line productivity'!$C$2:$C$39,'Line productivity'!$D$2:$D$39)</f>
        <v>Charlie</v>
      </c>
      <c r="E37">
        <v>22</v>
      </c>
    </row>
    <row r="38" spans="1:14">
      <c r="A38">
        <v>422146</v>
      </c>
      <c r="B38" t="str">
        <f>_xlfn.XLOOKUP(A38,'Line productivity'!$C$2:$C$39,'Line productivity'!$D$2:$D$39)</f>
        <v>Charlie</v>
      </c>
      <c r="H38">
        <v>30</v>
      </c>
      <c r="I38">
        <v>25</v>
      </c>
      <c r="N38">
        <v>7</v>
      </c>
    </row>
    <row r="39" spans="1:9">
      <c r="A39">
        <v>422147</v>
      </c>
      <c r="B39" t="str">
        <f>_xlfn.XLOOKUP(A39,'Line productivity'!$C$2:$C$39,'Line productivity'!$D$2:$D$39)</f>
        <v>Charlie</v>
      </c>
      <c r="F39">
        <v>17</v>
      </c>
      <c r="H39">
        <v>60</v>
      </c>
      <c r="I39">
        <v>30</v>
      </c>
    </row>
    <row r="40" spans="1:10">
      <c r="A40">
        <v>422148</v>
      </c>
      <c r="B40" t="str">
        <f>_xlfn.XLOOKUP(A40,'Line productivity'!$C$2:$C$39,'Line productivity'!$D$2:$D$39)</f>
        <v>Mac</v>
      </c>
      <c r="F40">
        <v>25</v>
      </c>
      <c r="J40">
        <v>7</v>
      </c>
    </row>
  </sheetData>
  <mergeCells count="1">
    <mergeCell ref="C1:N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9:F27"/>
  <sheetViews>
    <sheetView showGridLines="0" workbookViewId="0">
      <selection activeCell="L7" sqref="L7"/>
    </sheetView>
  </sheetViews>
  <sheetFormatPr defaultColWidth="9" defaultRowHeight="14.4" outlineLevelCol="5"/>
  <cols>
    <col min="1" max="1" width="9.26851851851852" customWidth="1"/>
    <col min="2" max="3" width="14.8148148148148" customWidth="1"/>
    <col min="4" max="4" width="12.7222222222222" customWidth="1"/>
    <col min="5" max="5" width="12.9074074074074" customWidth="1"/>
    <col min="6" max="6" width="11.5462962962963" customWidth="1"/>
    <col min="7" max="7" width="12.2685185185185" customWidth="1"/>
    <col min="10" max="10" width="14.3611111111111" customWidth="1"/>
  </cols>
  <sheetData>
    <row r="19" spans="2:2">
      <c r="B19" s="2"/>
    </row>
    <row r="20" hidden="1" spans="2:6">
      <c r="B20" s="3" cm="1">
        <f t="array" ref="B20:F20">TRANSPOSE('Downtime factors'!A2:A6)</f>
        <v>6</v>
      </c>
      <c r="C20" s="3">
        <v>7</v>
      </c>
      <c r="D20" s="3">
        <v>4</v>
      </c>
      <c r="E20" s="3">
        <v>2</v>
      </c>
      <c r="F20" s="3">
        <v>8</v>
      </c>
    </row>
    <row r="21" ht="28" customHeight="1" spans="1:6">
      <c r="A21" s="2" t="s">
        <v>51</v>
      </c>
      <c r="B21" s="4" t="str">
        <f>_xlfn.XLOOKUP(B20,'Downtime factors'!$A$2:$A$13,'Downtime factors'!$B$2:$B$13)</f>
        <v>Machine adjustment</v>
      </c>
      <c r="C21" s="5" t="str">
        <f>_xlfn.XLOOKUP(C20,'Downtime factors'!$A$2:$A$13,'Downtime factors'!$B$2:$B$13)</f>
        <v>Machine failure</v>
      </c>
      <c r="D21" s="5" t="str">
        <f>_xlfn.XLOOKUP(D20,'Downtime factors'!$A$2:$A$13,'Downtime factors'!$B$2:$B$13)</f>
        <v>Inventory shortage</v>
      </c>
      <c r="E21" s="4" t="str">
        <f>_xlfn.XLOOKUP(E20,'Downtime factors'!$A$2:$A$13,'Downtime factors'!$B$2:$B$13)</f>
        <v>Batch change</v>
      </c>
      <c r="F21" s="4" t="str">
        <f>_xlfn.XLOOKUP(F20,'Downtime factors'!$A$2:$A$13,'Downtime factors'!$B$2:$B$13)</f>
        <v>Batch coding error</v>
      </c>
    </row>
    <row r="22" s="1" customFormat="1" ht="21.5" customHeight="1" spans="1:6">
      <c r="A22" s="1" t="s">
        <v>13</v>
      </c>
      <c r="B22" s="6">
        <f>SUMIFS(INDEX('Line downtime'!$C$3:$N$40,,MATCH(Dashboard!B$20,'Line downtime'!$C$2:$N$2,0)),'Line downtime'!$B$3:$B$40,Dashboard!$A22)</f>
        <v>118</v>
      </c>
      <c r="C22" s="6">
        <f>SUMIFS(INDEX('Line downtime'!$C$3:$N$40,,MATCH(Dashboard!C$20,'Line downtime'!$C$2:$N$2,0)),'Line downtime'!$B$3:$B$40,Dashboard!$A22)</f>
        <v>85</v>
      </c>
      <c r="D22" s="6">
        <f>SUMIFS(INDEX('Line downtime'!$C$3:$N$40,,MATCH(Dashboard!D$20,'Line downtime'!$C$2:$N$2,0)),'Line downtime'!$B$3:$B$40,Dashboard!$A22)</f>
        <v>17</v>
      </c>
      <c r="E22" s="6">
        <f>SUMIFS(INDEX('Line downtime'!$C$3:$N$40,,MATCH(Dashboard!E$20,'Line downtime'!$C$2:$N$2,0)),'Line downtime'!$B$3:$B$40,Dashboard!$A22)</f>
        <v>10</v>
      </c>
      <c r="F22" s="6">
        <f>SUMIFS(INDEX('Line downtime'!$C$3:$N$40,,MATCH(Dashboard!F$20,'Line downtime'!$C$2:$N$2,0)),'Line downtime'!$B$3:$B$40,Dashboard!$A22)</f>
        <v>44</v>
      </c>
    </row>
    <row r="23" s="1" customFormat="1" ht="21.5" customHeight="1" spans="1:6">
      <c r="A23" s="1" t="s">
        <v>15</v>
      </c>
      <c r="B23" s="6">
        <f>SUMIFS(INDEX('Line downtime'!$C$3:$N$40,,MATCH(Dashboard!B$20,'Line downtime'!$C$2:$N$2,0)),'Line downtime'!$B$3:$B$40,Dashboard!$A23)</f>
        <v>79</v>
      </c>
      <c r="C23" s="6">
        <f>SUMIFS(INDEX('Line downtime'!$C$3:$N$40,,MATCH(Dashboard!C$20,'Line downtime'!$C$2:$N$2,0)),'Line downtime'!$B$3:$B$40,Dashboard!$A23)</f>
        <v>36</v>
      </c>
      <c r="D23" s="6">
        <f>SUMIFS(INDEX('Line downtime'!$C$3:$N$40,,MATCH(Dashboard!D$20,'Line downtime'!$C$2:$N$2,0)),'Line downtime'!$B$3:$B$40,Dashboard!$A23)</f>
        <v>85</v>
      </c>
      <c r="E23" s="6">
        <f>SUMIFS(INDEX('Line downtime'!$C$3:$N$40,,MATCH(Dashboard!E$20,'Line downtime'!$C$2:$N$2,0)),'Line downtime'!$B$3:$B$40,Dashboard!$A23)</f>
        <v>20</v>
      </c>
      <c r="F23" s="6">
        <f>SUMIFS(INDEX('Line downtime'!$C$3:$N$40,,MATCH(Dashboard!F$20,'Line downtime'!$C$2:$N$2,0)),'Line downtime'!$B$3:$B$40,Dashboard!$A23)</f>
        <v>30</v>
      </c>
    </row>
    <row r="24" s="1" customFormat="1" ht="21.5" customHeight="1" spans="1:6">
      <c r="A24" s="1" t="s">
        <v>14</v>
      </c>
      <c r="B24" s="6">
        <f>SUMIFS(INDEX('Line downtime'!$C$3:$N$40,,MATCH(Dashboard!B$20,'Line downtime'!$C$2:$N$2,0)),'Line downtime'!$B$3:$B$40,Dashboard!$A24)</f>
        <v>120</v>
      </c>
      <c r="C24" s="6">
        <f>SUMIFS(INDEX('Line downtime'!$C$3:$N$40,,MATCH(Dashboard!C$20,'Line downtime'!$C$2:$N$2,0)),'Line downtime'!$B$3:$B$40,Dashboard!$A24)</f>
        <v>88</v>
      </c>
      <c r="D24" s="6">
        <f>SUMIFS(INDEX('Line downtime'!$C$3:$N$40,,MATCH(Dashboard!D$20,'Line downtime'!$C$2:$N$2,0)),'Line downtime'!$B$3:$B$40,Dashboard!$A24)</f>
        <v>43</v>
      </c>
      <c r="E24" s="6">
        <f>SUMIFS(INDEX('Line downtime'!$C$3:$N$40,,MATCH(Dashboard!E$20,'Line downtime'!$C$2:$N$2,0)),'Line downtime'!$B$3:$B$40,Dashboard!$A24)</f>
        <v>0</v>
      </c>
      <c r="F24" s="6">
        <f>SUMIFS(INDEX('Line downtime'!$C$3:$N$40,,MATCH(Dashboard!F$20,'Line downtime'!$C$2:$N$2,0)),'Line downtime'!$B$3:$B$40,Dashboard!$A24)</f>
        <v>24</v>
      </c>
    </row>
    <row r="25" s="1" customFormat="1" ht="21.5" customHeight="1" spans="1:6">
      <c r="A25" s="1" t="s">
        <v>9</v>
      </c>
      <c r="B25" s="6">
        <f>SUMIFS(INDEX('Line downtime'!$C$3:$N$40,,MATCH(Dashboard!B$20,'Line downtime'!$C$2:$N$2,0)),'Line downtime'!$B$3:$B$40,Dashboard!$A25)</f>
        <v>15</v>
      </c>
      <c r="C25" s="6">
        <f>SUMIFS(INDEX('Line downtime'!$C$3:$N$40,,MATCH(Dashboard!C$20,'Line downtime'!$C$2:$N$2,0)),'Line downtime'!$B$3:$B$40,Dashboard!$A25)</f>
        <v>45</v>
      </c>
      <c r="D25" s="6">
        <f>SUMIFS(INDEX('Line downtime'!$C$3:$N$40,,MATCH(Dashboard!D$20,'Line downtime'!$C$2:$N$2,0)),'Line downtime'!$B$3:$B$40,Dashboard!$A25)</f>
        <v>80</v>
      </c>
      <c r="E25" s="6">
        <f>SUMIFS(INDEX('Line downtime'!$C$3:$N$40,,MATCH(Dashboard!E$20,'Line downtime'!$C$2:$N$2,0)),'Line downtime'!$B$3:$B$40,Dashboard!$A25)</f>
        <v>130</v>
      </c>
      <c r="F25" s="6">
        <f>SUMIFS(INDEX('Line downtime'!$C$3:$N$40,,MATCH(Dashboard!F$20,'Line downtime'!$C$2:$N$2,0)),'Line downtime'!$B$3:$B$40,Dashboard!$A25)</f>
        <v>47</v>
      </c>
    </row>
    <row r="27" spans="2:6">
      <c r="B27" s="7"/>
      <c r="C27" s="7"/>
      <c r="D27" s="7"/>
      <c r="E27" s="7"/>
      <c r="F27" s="7"/>
    </row>
  </sheetData>
  <conditionalFormatting sqref="B22:F25">
    <cfRule type="colorScale" priority="2">
      <colorScale>
        <cfvo type="min"/>
        <cfvo type="percentile" val="50"/>
        <cfvo type="max"/>
        <color theme="0"/>
        <color theme="0"/>
        <color theme="3" tint="0.249977111117893"/>
      </colorScale>
    </cfRule>
  </conditionalFormatting>
  <pageMargins left="0.7" right="0.7" top="0.75" bottom="0.75" header="0.3" footer="0.3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Line productivity</vt:lpstr>
      <vt:lpstr>Products</vt:lpstr>
      <vt:lpstr>Downtime factors</vt:lpstr>
      <vt:lpstr>Line downtime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PROGRESSIVE</cp:lastModifiedBy>
  <dcterms:created xsi:type="dcterms:W3CDTF">2024-08-19T19:52:00Z</dcterms:created>
  <cp:lastPrinted>2025-09-04T20:58:00Z</cp:lastPrinted>
  <dcterms:modified xsi:type="dcterms:W3CDTF">2025-11-30T04:09:00Z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C7F37108C2494681BEFAB680B60B1A68_12</vt:lpwstr>
  </property>
  <property fmtid="{D5CDD505-2E9C-101B-9397-08002B2CF9AE}" pid="3" name="KSOProductBuildVer">
    <vt:lpwstr>2057-12.2.0.23155</vt:lpwstr>
  </property>
</Properties>
</file>